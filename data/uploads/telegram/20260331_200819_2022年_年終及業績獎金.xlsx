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3 財務會計\01 財務相關\04 員工相關\02 Lina\2022年度\"/>
    </mc:Choice>
  </mc:AlternateContent>
  <bookViews>
    <workbookView xWindow="-108" yWindow="-108" windowWidth="23256" windowHeight="14040"/>
  </bookViews>
  <sheets>
    <sheet name="總表" sheetId="1" r:id="rId1"/>
    <sheet name="Annie" sheetId="3" r:id="rId2"/>
    <sheet name="Debby" sheetId="7" r:id="rId3"/>
    <sheet name="Giselle" sheetId="9" r:id="rId4"/>
    <sheet name="Jasmine" sheetId="8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9" i="3" l="1"/>
  <c r="I39" i="7" l="1"/>
  <c r="G39" i="7"/>
  <c r="F39" i="7"/>
  <c r="J2" i="1" l="1"/>
  <c r="G5" i="1" l="1"/>
  <c r="G4" i="1"/>
  <c r="F2" i="3"/>
  <c r="F2" i="8"/>
  <c r="F2" i="7"/>
  <c r="F13" i="7" l="1"/>
  <c r="G54" i="8"/>
  <c r="I6" i="3"/>
  <c r="G62" i="8"/>
  <c r="F60" i="8"/>
  <c r="H29" i="7"/>
  <c r="H39" i="7" s="1"/>
  <c r="F40" i="7" l="1"/>
  <c r="I2" i="7"/>
  <c r="F36" i="7"/>
  <c r="F37" i="7" s="1"/>
  <c r="H2" i="8"/>
  <c r="H61" i="8"/>
  <c r="G61" i="8"/>
  <c r="G63" i="8" l="1"/>
  <c r="F6" i="1"/>
  <c r="E2" i="9"/>
  <c r="I2" i="9" s="1"/>
  <c r="I8" i="9"/>
  <c r="H8" i="9"/>
  <c r="G8" i="9"/>
  <c r="J6" i="1" l="1"/>
  <c r="F2" i="1" l="1"/>
  <c r="J3" i="1" l="1"/>
  <c r="J4" i="1" l="1"/>
  <c r="J5" i="1"/>
  <c r="I2" i="3" l="1"/>
  <c r="J8" i="1" l="1"/>
</calcChain>
</file>

<file path=xl/comments1.xml><?xml version="1.0" encoding="utf-8"?>
<comments xmlns="http://schemas.openxmlformats.org/spreadsheetml/2006/main">
  <authors>
    <author>user</author>
  </authors>
  <commentList>
    <comment ref="C3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             108/10/01 $38000</t>
        </r>
      </text>
    </comment>
    <comment ref="C4" authorId="0" shapeId="0">
      <text>
        <r>
          <rPr>
            <sz val="8"/>
            <color indexed="81"/>
            <rFont val="微軟正黑體"/>
            <family val="2"/>
            <charset val="136"/>
          </rPr>
          <t>調薪：109/07/01 $32000
調薪：110/02/01 $35000
調薪：110/08/01 $36000
調薪：111/02/01 $37000
調薪：111/03/01 $38000</t>
        </r>
      </text>
    </comment>
    <comment ref="C5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             108/10/01 $38000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調薪：109/07/01 $32000
調薪：110/02/01 $35000
調薪：110/08/01 $36000
調薪：111/02/01 $37000
調薪：111/03/01 $38000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</t>
        </r>
      </text>
    </comment>
  </commentList>
</comments>
</file>

<file path=xl/sharedStrings.xml><?xml version="1.0" encoding="utf-8"?>
<sst xmlns="http://schemas.openxmlformats.org/spreadsheetml/2006/main" count="546" uniqueCount="235">
  <si>
    <t>Annie</t>
  </si>
  <si>
    <t>廖以婷</t>
    <phoneticPr fontId="2" type="noConversion"/>
  </si>
  <si>
    <t>Debby</t>
    <phoneticPr fontId="2" type="noConversion"/>
  </si>
  <si>
    <t>黃筱庭</t>
    <phoneticPr fontId="2" type="noConversion"/>
  </si>
  <si>
    <t>Jasmine</t>
    <phoneticPr fontId="2" type="noConversion"/>
  </si>
  <si>
    <t>姓名</t>
  </si>
  <si>
    <t>到職日</t>
    <phoneticPr fontId="2" type="noConversion"/>
  </si>
  <si>
    <t>小計</t>
    <phoneticPr fontId="2" type="noConversion"/>
  </si>
  <si>
    <t>周義惠</t>
    <phoneticPr fontId="2" type="noConversion"/>
  </si>
  <si>
    <t>到職天數</t>
    <phoneticPr fontId="2" type="noConversion"/>
  </si>
  <si>
    <t>月薪</t>
    <phoneticPr fontId="2" type="noConversion"/>
  </si>
  <si>
    <t>業績獎金</t>
    <phoneticPr fontId="2" type="noConversion"/>
  </si>
  <si>
    <t>專案簽名</t>
    <phoneticPr fontId="2" type="noConversion"/>
  </si>
  <si>
    <t>羅臻</t>
    <phoneticPr fontId="2" type="noConversion"/>
  </si>
  <si>
    <t>Lina</t>
    <phoneticPr fontId="2" type="noConversion"/>
  </si>
  <si>
    <t>執行長</t>
    <phoneticPr fontId="2" type="noConversion"/>
  </si>
  <si>
    <t>N/A</t>
    <phoneticPr fontId="2" type="noConversion"/>
  </si>
  <si>
    <t>專案</t>
  </si>
  <si>
    <t>案號</t>
  </si>
  <si>
    <t>專案名稱</t>
  </si>
  <si>
    <t>活動日期</t>
  </si>
  <si>
    <t>協助專案</t>
  </si>
  <si>
    <t>專案未稅金額</t>
  </si>
  <si>
    <t>獎金5%</t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</si>
  <si>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</si>
  <si>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</si>
  <si>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</si>
  <si>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總計</t>
    <phoneticPr fontId="2" type="noConversion"/>
  </si>
  <si>
    <t>姓名</t>
    <phoneticPr fontId="2" type="noConversion"/>
  </si>
  <si>
    <t>Jasmine獎金</t>
  </si>
  <si>
    <t>獎金總計</t>
  </si>
  <si>
    <t>專案獎金</t>
    <phoneticPr fontId="2" type="noConversion"/>
  </si>
  <si>
    <t>潘冠今</t>
    <phoneticPr fontId="2" type="noConversion"/>
  </si>
  <si>
    <t>Giselle</t>
    <phoneticPr fontId="2" type="noConversion"/>
  </si>
  <si>
    <t>姓名</t>
    <phoneticPr fontId="2" type="noConversion"/>
  </si>
  <si>
    <t>到職日</t>
    <phoneticPr fontId="2" type="noConversion"/>
  </si>
  <si>
    <t>月薪</t>
    <phoneticPr fontId="2" type="noConversion"/>
  </si>
  <si>
    <t>到職天數</t>
    <phoneticPr fontId="2" type="noConversion"/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</si>
  <si>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</si>
  <si>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</si>
  <si>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</si>
  <si>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小計</t>
    <phoneticPr fontId="2" type="noConversion"/>
  </si>
  <si>
    <t>獎金10%</t>
    <phoneticPr fontId="2" type="noConversion"/>
  </si>
  <si>
    <t>特殊/支援獎金</t>
    <phoneticPr fontId="2" type="noConversion"/>
  </si>
  <si>
    <t>AC221201</t>
  </si>
  <si>
    <t>TTA X CES 2022 國際鏈結活動規劃與執行</t>
  </si>
  <si>
    <t>01/04-12/31</t>
  </si>
  <si>
    <t>N/A</t>
  </si>
  <si>
    <t>AC221202</t>
  </si>
  <si>
    <t>2021 TTA TALK第一場
TTA x CES 2022 Bootcamp
2021 TTA創業家投資人沙龍【十二月場】
2021 TTA TALK第二場</t>
  </si>
  <si>
    <t>AC221203</t>
  </si>
  <si>
    <t>2020 CES 三園區招商 預備金
2020 TTA 科技部直播
2020 院長參訪TTA動態攝影費用</t>
  </si>
  <si>
    <t>AC221204</t>
  </si>
  <si>
    <t>2022 太空roadshow直播執行活動
2022 太空歲末小聚</t>
  </si>
  <si>
    <t>12/01-12/31</t>
  </si>
  <si>
    <t>AC221205</t>
  </si>
  <si>
    <t>2022 TTA 創業家投資人沙龍系列 #10 
2022 Meet Taipei</t>
  </si>
  <si>
    <t>Annie (AC)</t>
  </si>
  <si>
    <t>Lina (LL)</t>
  </si>
  <si>
    <t>LL220103</t>
  </si>
  <si>
    <t>2022 Gogoro Vivamix 尾牙道具製作</t>
  </si>
  <si>
    <t>LL220201</t>
  </si>
  <si>
    <t>TTA X CES 2022 國際鏈結活動規劃與執行-第一期</t>
  </si>
  <si>
    <t>1/5~1/8
1/3Unveiled</t>
  </si>
  <si>
    <t>Debby</t>
  </si>
  <si>
    <t>TTA X CES 2022 國際鏈結活動規劃與執行-第二期</t>
  </si>
  <si>
    <t>TTA X CES 2022 國際鏈結活動規劃與執行-第三期</t>
  </si>
  <si>
    <t>LL220202</t>
  </si>
  <si>
    <t>2022 CES文創用品</t>
  </si>
  <si>
    <t>Yoyo</t>
  </si>
  <si>
    <t>LL220203</t>
  </si>
  <si>
    <t>2022 TTA South 牆面美化與活動舞台施作</t>
  </si>
  <si>
    <t>2月</t>
  </si>
  <si>
    <t>LL220304</t>
  </si>
  <si>
    <t>2022 Gogoro綠能小騎士製作物(工具包)</t>
  </si>
  <si>
    <t>3月</t>
  </si>
  <si>
    <t>Jim</t>
  </si>
  <si>
    <t>LL220305</t>
  </si>
  <si>
    <t>2022 TTA South 牆面美化及固定舞台施作+(南科設計)</t>
  </si>
  <si>
    <t>LL220306</t>
  </si>
  <si>
    <t>Gogoro 楠梓門市開幕素材設計</t>
  </si>
  <si>
    <t>LL220308</t>
  </si>
  <si>
    <t>Gogoro 板橋門市開幕素材設計</t>
  </si>
  <si>
    <t>LL220402</t>
  </si>
  <si>
    <t>2022 GSK 兒科醫學會年會展覽</t>
  </si>
  <si>
    <t>4月</t>
  </si>
  <si>
    <t>Audery</t>
  </si>
  <si>
    <t>LL220404</t>
  </si>
  <si>
    <t>2022 Gogoro 小騎士兒童節活動</t>
  </si>
  <si>
    <t>Serena/Annie</t>
  </si>
  <si>
    <t>LL220406</t>
  </si>
  <si>
    <t>2022 Gogoro 蘆洲中原門市開幕素材設計</t>
  </si>
  <si>
    <t>LL220503</t>
  </si>
  <si>
    <t>2022 Gogoro 桃園中華門市開幕活動</t>
  </si>
  <si>
    <t>LL220602</t>
  </si>
  <si>
    <t>2022 GSK Ahead together event (LOGO發布會)</t>
  </si>
  <si>
    <t>LL220603</t>
  </si>
  <si>
    <t>2022 Gogoro 林口門市開幕</t>
  </si>
  <si>
    <t>07/01-07/03</t>
  </si>
  <si>
    <t>LL220605</t>
  </si>
  <si>
    <t>2022 Gogoro 安南北安開幕</t>
  </si>
  <si>
    <t>05/28-06/05</t>
  </si>
  <si>
    <t>LL220607</t>
  </si>
  <si>
    <t>2022 Gogoro 9間門市地圖卡設計案</t>
  </si>
  <si>
    <t>LL220701</t>
  </si>
  <si>
    <t>2022 Gogoro 台南健康開幕</t>
  </si>
  <si>
    <t>LL220702</t>
  </si>
  <si>
    <t>2022 Gogoro 台南公園開幕(小騎士)</t>
  </si>
  <si>
    <t>LL220703</t>
  </si>
  <si>
    <t>2022 Gogoro 風格地圖製作案 LYDIA</t>
  </si>
  <si>
    <t>外發 S+P+A</t>
  </si>
  <si>
    <t>LL220704</t>
  </si>
  <si>
    <t>2022 Gogoro 台南公園開幕記者會 (kyria)</t>
  </si>
  <si>
    <t>LL220705</t>
  </si>
  <si>
    <t>2022 Gogoro 校園突擊隊總部參訪 (Rita)</t>
  </si>
  <si>
    <t>Serena /Audery</t>
  </si>
  <si>
    <t>LL220706</t>
  </si>
  <si>
    <t>2022 貿協 MEET TAIWAN PITCH活動案</t>
  </si>
  <si>
    <t>Lina</t>
  </si>
  <si>
    <t>LL220709</t>
  </si>
  <si>
    <t>2022 Gogoro 7間門市地圖卡設計案 (Lydia)</t>
  </si>
  <si>
    <t>Peter</t>
  </si>
  <si>
    <t>LL220801</t>
  </si>
  <si>
    <t>2022 Gogoro 烏日三和門市開幕素材設計</t>
  </si>
  <si>
    <t>8月中</t>
  </si>
  <si>
    <t>LL220803</t>
  </si>
  <si>
    <t>2022 Gogoro 桃園中華門市小騎士活動 (kyria)</t>
  </si>
  <si>
    <t>LL220805</t>
  </si>
  <si>
    <t>2022 TTA 四周年17日直播執行</t>
  </si>
  <si>
    <t>LL220903</t>
  </si>
  <si>
    <t>2022 Gogoro中和華中橋開幕素材設計 (Rex)</t>
  </si>
  <si>
    <t>LL220904</t>
  </si>
  <si>
    <t>2022 Gogoro 嘉義青商會贈車美工製作</t>
  </si>
  <si>
    <t>LL221002</t>
  </si>
  <si>
    <t>2022 Gogoro 基隆基金門市開幕</t>
  </si>
  <si>
    <t>LL221003</t>
  </si>
  <si>
    <t>2022 Gogoro 鳳山青年門市手舉牌 (Rex)</t>
  </si>
  <si>
    <t>LL221004</t>
  </si>
  <si>
    <t>2022 Gogoro 中壢環西門市開幕</t>
  </si>
  <si>
    <t>LL221101</t>
  </si>
  <si>
    <t>2022 Gogoro 永和樂華門市開幕(RITA)</t>
  </si>
  <si>
    <t>LL221102</t>
  </si>
  <si>
    <t>2022 COOLERMASTER 30周年記者會</t>
  </si>
  <si>
    <t>serena</t>
  </si>
  <si>
    <t>2022 COOLERMASTER 30周年記者會 (冰淇淋機台輸出)</t>
  </si>
  <si>
    <t>-</t>
  </si>
  <si>
    <t>Debby(DL)</t>
  </si>
  <si>
    <t>DL220301</t>
  </si>
  <si>
    <t>2022 TTA TALK 第三場(交大)</t>
  </si>
  <si>
    <t>DL220302</t>
  </si>
  <si>
    <t>2022 TTA 科技女力XYZ座談會</t>
  </si>
  <si>
    <t>DL220401</t>
  </si>
  <si>
    <t>2022 雄中百年校慶【慶祝大會暨揭幕典禮】</t>
  </si>
  <si>
    <t>2022 雄中百年校慶【慶祝大會暨揭幕典禮】_家具租借</t>
  </si>
  <si>
    <t>DL220402</t>
  </si>
  <si>
    <t>2022 創業家投資人沙龍【四月場】</t>
  </si>
  <si>
    <t>DL220802</t>
  </si>
  <si>
    <t>2022 TTA四週年記者會</t>
  </si>
  <si>
    <t>08/16、08/17</t>
  </si>
  <si>
    <t>DL220804</t>
  </si>
  <si>
    <t>2022 TAcc+ Softlanding Event</t>
  </si>
  <si>
    <t>08/02、08/05、08/19</t>
  </si>
  <si>
    <t>2022 TAcc+ Softlanding Event_外燴餐點</t>
  </si>
  <si>
    <t>DL220805</t>
  </si>
  <si>
    <t>2022 嘉義科學園區_招商暨產學交流論壇</t>
  </si>
  <si>
    <t>DL220902</t>
  </si>
  <si>
    <t>2022 TACC 人力支援活動 第一場</t>
  </si>
  <si>
    <t>DL221001</t>
  </si>
  <si>
    <t>2022 TTA國際投資人論壇</t>
  </si>
  <si>
    <t>DL221002</t>
  </si>
  <si>
    <t>2022 嘉科_高峰論壇暨學研成果展示</t>
  </si>
  <si>
    <t>DL221101</t>
  </si>
  <si>
    <t>2022 TTA TALK 第四場(中興)</t>
  </si>
  <si>
    <t>DL221102</t>
  </si>
  <si>
    <t>2022奇威45系列活動-品牌特展</t>
  </si>
  <si>
    <t>11/04-11/06</t>
  </si>
  <si>
    <t>DL221103</t>
  </si>
  <si>
    <t>2022 太空roadshow直播執行活動</t>
  </si>
  <si>
    <t>Giselle</t>
  </si>
  <si>
    <t>DL221201</t>
  </si>
  <si>
    <t>2022 TTA TALK 第五場(高醫)</t>
  </si>
  <si>
    <t>2022 TTA TALK 第五場(高醫)_影片剪輯</t>
  </si>
  <si>
    <t>DL221202</t>
  </si>
  <si>
    <t>2022 太空歲末小聚</t>
  </si>
  <si>
    <t>GP221201</t>
  </si>
  <si>
    <t>2022 TTA 公關品</t>
  </si>
  <si>
    <t>12月底</t>
  </si>
  <si>
    <t>-</t>
    <phoneticPr fontId="2" type="noConversion"/>
  </si>
  <si>
    <t>GP221101</t>
  </si>
  <si>
    <t>2022 Meet Taipei</t>
  </si>
  <si>
    <t>11/16 11/17</t>
  </si>
  <si>
    <t>Giselle(GP)</t>
    <phoneticPr fontId="2" type="noConversion"/>
  </si>
  <si>
    <t>Giselle獎金</t>
    <phoneticPr fontId="2" type="noConversion"/>
  </si>
  <si>
    <t>※到職未滿一年，故月薪/365*到職天數</t>
    <phoneticPr fontId="2" type="noConversion"/>
  </si>
  <si>
    <t>獎金3%</t>
    <phoneticPr fontId="2" type="noConversion"/>
  </si>
  <si>
    <t>獎金5%</t>
    <phoneticPr fontId="2" type="noConversion"/>
  </si>
  <si>
    <t>獎金8%</t>
    <phoneticPr fontId="2" type="noConversion"/>
  </si>
  <si>
    <t>1月</t>
  </si>
  <si>
    <t>DL221003</t>
  </si>
  <si>
    <t>2022 TACC 人力支援活動 第二場</t>
  </si>
  <si>
    <t>DL221104</t>
  </si>
  <si>
    <t>2022 TTA 創業家投資人沙龍系列 #10</t>
  </si>
  <si>
    <t>Vivian</t>
  </si>
  <si>
    <t>協助總業績量</t>
    <phoneticPr fontId="2" type="noConversion"/>
  </si>
  <si>
    <t>Debby總業績量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</si>
  <si>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</si>
  <si>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</si>
  <si>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</si>
  <si>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2022奇威45系列活動-品牌特展</t>
    <phoneticPr fontId="2" type="noConversion"/>
  </si>
  <si>
    <t>※DL221102 2022奇威45系列活動-品牌特展 因客戶關係，2022年度獎金先發一半</t>
    <phoneticPr fontId="2" type="noConversion"/>
  </si>
  <si>
    <t>Annie獎金</t>
    <phoneticPr fontId="2" type="noConversion"/>
  </si>
  <si>
    <t>年度業績獎金</t>
    <phoneticPr fontId="2" type="noConversion"/>
  </si>
  <si>
    <t>Debby獎金</t>
    <phoneticPr fontId="2" type="noConversion"/>
  </si>
  <si>
    <t>協助專案/設計</t>
    <phoneticPr fontId="2" type="noConversion"/>
  </si>
  <si>
    <t xml:space="preserve">業績達標獎金 </t>
    <phoneticPr fontId="2" type="noConversion"/>
  </si>
  <si>
    <t>Jasmine總業績量</t>
    <phoneticPr fontId="2" type="noConversion"/>
  </si>
  <si>
    <t>※計算方式專案 100%業績+支援業績50%百萬以下無條件捨棄</t>
    <phoneticPr fontId="2" type="noConversion"/>
  </si>
  <si>
    <t xml:space="preserve">年度總業績量 </t>
    <phoneticPr fontId="2" type="noConversion"/>
  </si>
  <si>
    <t>※業績達標800萬起以比例提撥獎金 ，總業績金額無條件捨去百萬以下乘以0.0005計算</t>
    <phoneticPr fontId="2" type="noConversion"/>
  </si>
  <si>
    <t>※業績達標800萬起以比例提撥獎金 ，總業績金額無條件捨去百萬以下乘以0.001計算</t>
    <phoneticPr fontId="2" type="noConversion"/>
  </si>
  <si>
    <t>GGR人力費用請款</t>
    <phoneticPr fontId="2" type="noConversion"/>
  </si>
  <si>
    <t>2月-12月</t>
    <phoneticPr fontId="2" type="noConversion"/>
  </si>
  <si>
    <t>Giselle(GP)</t>
    <phoneticPr fontId="2" type="noConversion"/>
  </si>
  <si>
    <t>04/07補發</t>
    <phoneticPr fontId="2" type="noConversion"/>
  </si>
  <si>
    <t>2700+9919</t>
    <phoneticPr fontId="2" type="noConversion"/>
  </si>
  <si>
    <t>補發</t>
    <phoneticPr fontId="2" type="noConversion"/>
  </si>
  <si>
    <t>補發</t>
    <phoneticPr fontId="2" type="noConversion"/>
  </si>
  <si>
    <t>Debby(DL)</t>
    <phoneticPr fontId="2" type="noConversion"/>
  </si>
  <si>
    <t>Debby(DL)</t>
    <phoneticPr fontId="2" type="noConversion"/>
  </si>
  <si>
    <t>Lina (LL)</t>
    <phoneticPr fontId="2" type="noConversion"/>
  </si>
  <si>
    <t>Lina (LL)</t>
    <phoneticPr fontId="2" type="noConversion"/>
  </si>
  <si>
    <t>04/14補發</t>
    <phoneticPr fontId="2" type="noConversion"/>
  </si>
  <si>
    <t>以下為補發奨金</t>
    <phoneticPr fontId="2" type="noConversion"/>
  </si>
  <si>
    <t>2022專案獎金分配表</t>
    <phoneticPr fontId="2" type="noConversion"/>
  </si>
  <si>
    <t>2022專案獎金分配表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</si>
</sst>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);[Red]\(#,##0\)"/>
    <numFmt numFmtId="177" formatCode="[$-404]e/mm/dd;@"/>
    <numFmt numFmtId="178" formatCode="m&quot;月&quot;d&quot;日&quot;"/>
    <numFmt numFmtId="179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8"/>
      <color indexed="8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color rgb="FFFFFFFF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6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4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>
      <alignment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76" fontId="3" fillId="9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178" fontId="3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3" fontId="1" fillId="9" borderId="5" xfId="0" applyNumberFormat="1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178" fontId="1" fillId="8" borderId="24" xfId="0" applyNumberFormat="1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3" fontId="1" fillId="9" borderId="24" xfId="0" applyNumberFormat="1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1" fillId="8" borderId="7" xfId="0" applyNumberFormat="1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3" fontId="1" fillId="9" borderId="7" xfId="0" applyNumberFormat="1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3" fontId="13" fillId="8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/>
    </xf>
    <xf numFmtId="176" fontId="3" fillId="9" borderId="24" xfId="0" applyNumberFormat="1" applyFont="1" applyFill="1" applyBorder="1" applyAlignment="1">
      <alignment horizontal="center" vertical="center" wrapText="1"/>
    </xf>
    <xf numFmtId="176" fontId="3" fillId="9" borderId="25" xfId="0" applyNumberFormat="1" applyFont="1" applyFill="1" applyBorder="1" applyAlignment="1">
      <alignment horizontal="center" vertical="center" wrapText="1"/>
    </xf>
    <xf numFmtId="176" fontId="18" fillId="3" borderId="1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176" fontId="3" fillId="9" borderId="17" xfId="0" applyNumberFormat="1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8" borderId="24" xfId="0" applyFont="1" applyFill="1" applyBorder="1" applyAlignment="1">
      <alignment horizontal="center" vertical="center" wrapText="1"/>
    </xf>
    <xf numFmtId="3" fontId="13" fillId="0" borderId="24" xfId="0" applyNumberFormat="1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8" borderId="24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3" fontId="13" fillId="8" borderId="7" xfId="0" applyNumberFormat="1" applyFont="1" applyFill="1" applyBorder="1" applyAlignment="1">
      <alignment horizontal="center" vertical="center" wrapText="1"/>
    </xf>
    <xf numFmtId="3" fontId="13" fillId="8" borderId="8" xfId="0" applyNumberFormat="1" applyFont="1" applyFill="1" applyBorder="1" applyAlignment="1">
      <alignment horizontal="center" vertical="center" wrapText="1"/>
    </xf>
    <xf numFmtId="3" fontId="13" fillId="8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6" fontId="3" fillId="9" borderId="5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76" fontId="3" fillId="9" borderId="30" xfId="0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3" fontId="13" fillId="8" borderId="24" xfId="0" applyNumberFormat="1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 wrapText="1"/>
    </xf>
    <xf numFmtId="179" fontId="15" fillId="0" borderId="5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8" borderId="1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3" fontId="13" fillId="14" borderId="1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" fillId="14" borderId="1" xfId="0" applyNumberFormat="1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3" fontId="13" fillId="0" borderId="10" xfId="0" applyNumberFormat="1" applyFont="1" applyBorder="1" applyAlignment="1">
      <alignment horizontal="center" vertical="center" wrapText="1"/>
    </xf>
    <xf numFmtId="3" fontId="13" fillId="2" borderId="55" xfId="0" applyNumberFormat="1" applyFont="1" applyFill="1" applyBorder="1" applyAlignment="1">
      <alignment horizontal="center" vertical="center" wrapText="1"/>
    </xf>
    <xf numFmtId="179" fontId="15" fillId="14" borderId="5" xfId="0" applyNumberFormat="1" applyFont="1" applyFill="1" applyBorder="1" applyAlignment="1">
      <alignment horizontal="center" vertical="center" wrapText="1"/>
    </xf>
    <xf numFmtId="0" fontId="3" fillId="14" borderId="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9" fillId="3" borderId="20" xfId="0" applyFont="1" applyFill="1" applyBorder="1" applyAlignment="1">
      <alignment horizontal="right" vertical="center"/>
    </xf>
    <xf numFmtId="0" fontId="19" fillId="3" borderId="21" xfId="0" applyFont="1" applyFill="1" applyBorder="1" applyAlignment="1">
      <alignment horizontal="right" vertical="center"/>
    </xf>
    <xf numFmtId="0" fontId="19" fillId="3" borderId="22" xfId="0" applyFont="1" applyFill="1" applyBorder="1" applyAlignment="1">
      <alignment horizontal="right" vertical="center"/>
    </xf>
    <xf numFmtId="0" fontId="3" fillId="14" borderId="51" xfId="0" applyFont="1" applyFill="1" applyBorder="1" applyAlignment="1">
      <alignment horizontal="center" vertical="center"/>
    </xf>
    <xf numFmtId="179" fontId="15" fillId="14" borderId="28" xfId="0" applyNumberFormat="1" applyFont="1" applyFill="1" applyBorder="1" applyAlignment="1">
      <alignment horizontal="center" vertical="center" wrapText="1"/>
    </xf>
    <xf numFmtId="179" fontId="15" fillId="14" borderId="30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6" borderId="52" xfId="0" applyFont="1" applyFill="1" applyBorder="1" applyAlignment="1">
      <alignment horizontal="right" vertical="center"/>
    </xf>
    <xf numFmtId="0" fontId="11" fillId="6" borderId="13" xfId="0" applyFont="1" applyFill="1" applyBorder="1" applyAlignment="1">
      <alignment horizontal="right" vertical="center"/>
    </xf>
    <xf numFmtId="0" fontId="11" fillId="6" borderId="53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8" fillId="4" borderId="49" xfId="0" applyFont="1" applyFill="1" applyBorder="1" applyAlignment="1">
      <alignment horizontal="center" vertical="center"/>
    </xf>
    <xf numFmtId="0" fontId="8" fillId="4" borderId="50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11" fillId="13" borderId="40" xfId="0" applyFont="1" applyFill="1" applyBorder="1" applyAlignment="1">
      <alignment horizontal="right" vertical="center"/>
    </xf>
    <xf numFmtId="0" fontId="11" fillId="13" borderId="41" xfId="0" applyFont="1" applyFill="1" applyBorder="1" applyAlignment="1">
      <alignment horizontal="right" vertical="center"/>
    </xf>
    <xf numFmtId="0" fontId="11" fillId="13" borderId="42" xfId="0" applyFont="1" applyFill="1" applyBorder="1" applyAlignment="1">
      <alignment horizontal="right" vertical="center"/>
    </xf>
    <xf numFmtId="179" fontId="11" fillId="13" borderId="43" xfId="0" applyNumberFormat="1" applyFont="1" applyFill="1" applyBorder="1" applyAlignment="1">
      <alignment horizontal="center" vertical="center"/>
    </xf>
    <xf numFmtId="179" fontId="11" fillId="13" borderId="41" xfId="0" applyNumberFormat="1" applyFont="1" applyFill="1" applyBorder="1" applyAlignment="1">
      <alignment horizontal="center" vertical="center"/>
    </xf>
    <xf numFmtId="179" fontId="11" fillId="13" borderId="44" xfId="0" applyNumberFormat="1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9" fillId="10" borderId="34" xfId="0" applyFont="1" applyFill="1" applyBorder="1" applyAlignment="1">
      <alignment horizontal="center" vertical="center"/>
    </xf>
    <xf numFmtId="176" fontId="5" fillId="10" borderId="39" xfId="0" applyNumberFormat="1" applyFont="1" applyFill="1" applyBorder="1" applyAlignment="1">
      <alignment horizontal="center" vertical="center" wrapText="1"/>
    </xf>
    <xf numFmtId="176" fontId="5" fillId="10" borderId="33" xfId="0" applyNumberFormat="1" applyFont="1" applyFill="1" applyBorder="1" applyAlignment="1">
      <alignment horizontal="center" vertical="center" wrapText="1"/>
    </xf>
    <xf numFmtId="176" fontId="5" fillId="10" borderId="45" xfId="0" applyNumberFormat="1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right" vertical="center"/>
    </xf>
    <xf numFmtId="0" fontId="11" fillId="11" borderId="33" xfId="0" applyFont="1" applyFill="1" applyBorder="1" applyAlignment="1">
      <alignment horizontal="right" vertical="center"/>
    </xf>
    <xf numFmtId="0" fontId="11" fillId="11" borderId="34" xfId="0" applyFont="1" applyFill="1" applyBorder="1" applyAlignment="1">
      <alignment horizontal="right" vertical="center"/>
    </xf>
    <xf numFmtId="179" fontId="11" fillId="11" borderId="35" xfId="0" applyNumberFormat="1" applyFont="1" applyFill="1" applyBorder="1" applyAlignment="1">
      <alignment horizontal="center" vertical="center"/>
    </xf>
    <xf numFmtId="179" fontId="11" fillId="11" borderId="13" xfId="0" applyNumberFormat="1" applyFont="1" applyFill="1" applyBorder="1" applyAlignment="1">
      <alignment horizontal="center" vertical="center"/>
    </xf>
    <xf numFmtId="179" fontId="11" fillId="11" borderId="36" xfId="0" applyNumberFormat="1" applyFont="1" applyFill="1" applyBorder="1" applyAlignment="1">
      <alignment horizontal="center" vertical="center"/>
    </xf>
    <xf numFmtId="179" fontId="11" fillId="13" borderId="18" xfId="0" applyNumberFormat="1" applyFont="1" applyFill="1" applyBorder="1" applyAlignment="1">
      <alignment horizontal="center" vertical="center"/>
    </xf>
    <xf numFmtId="179" fontId="11" fillId="13" borderId="19" xfId="0" applyNumberFormat="1" applyFont="1" applyFill="1" applyBorder="1" applyAlignment="1">
      <alignment horizontal="center" vertical="center"/>
    </xf>
    <xf numFmtId="179" fontId="11" fillId="13" borderId="31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3" fillId="8" borderId="1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11" fillId="11" borderId="52" xfId="0" applyFont="1" applyFill="1" applyBorder="1" applyAlignment="1">
      <alignment horizontal="right" vertical="center"/>
    </xf>
    <xf numFmtId="0" fontId="11" fillId="11" borderId="13" xfId="0" applyFont="1" applyFill="1" applyBorder="1" applyAlignment="1">
      <alignment horizontal="right" vertical="center"/>
    </xf>
    <xf numFmtId="0" fontId="11" fillId="11" borderId="53" xfId="0" applyFont="1" applyFill="1" applyBorder="1" applyAlignment="1">
      <alignment horizontal="right" vertical="center"/>
    </xf>
    <xf numFmtId="179" fontId="11" fillId="11" borderId="54" xfId="0" applyNumberFormat="1" applyFont="1" applyFill="1" applyBorder="1" applyAlignment="1">
      <alignment horizontal="center" vertical="center"/>
    </xf>
    <xf numFmtId="179" fontId="11" fillId="11" borderId="55" xfId="0" applyNumberFormat="1" applyFont="1" applyFill="1" applyBorder="1" applyAlignment="1">
      <alignment horizontal="center" vertical="center"/>
    </xf>
    <xf numFmtId="0" fontId="1" fillId="14" borderId="51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right" vertical="center"/>
    </xf>
    <xf numFmtId="0" fontId="11" fillId="6" borderId="17" xfId="0" applyFont="1" applyFill="1" applyBorder="1" applyAlignment="1">
      <alignment horizontal="right" vertical="center"/>
    </xf>
    <xf numFmtId="0" fontId="9" fillId="10" borderId="6" xfId="0" applyFont="1" applyFill="1" applyBorder="1" applyAlignment="1">
      <alignment horizontal="right" vertical="center" wrapText="1"/>
    </xf>
    <xf numFmtId="0" fontId="9" fillId="10" borderId="7" xfId="0" applyFont="1" applyFill="1" applyBorder="1" applyAlignment="1">
      <alignment horizontal="right" vertical="center" wrapText="1"/>
    </xf>
    <xf numFmtId="176" fontId="5" fillId="10" borderId="7" xfId="0" applyNumberFormat="1" applyFont="1" applyFill="1" applyBorder="1" applyAlignment="1">
      <alignment horizontal="center" vertical="center" wrapText="1"/>
    </xf>
    <xf numFmtId="176" fontId="5" fillId="10" borderId="8" xfId="0" applyNumberFormat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6" borderId="40" xfId="0" applyFont="1" applyFill="1" applyBorder="1" applyAlignment="1">
      <alignment horizontal="right" vertical="center"/>
    </xf>
    <xf numFmtId="0" fontId="11" fillId="6" borderId="41" xfId="0" applyFont="1" applyFill="1" applyBorder="1" applyAlignment="1">
      <alignment horizontal="right" vertical="center"/>
    </xf>
    <xf numFmtId="0" fontId="11" fillId="6" borderId="42" xfId="0" applyFont="1" applyFill="1" applyBorder="1" applyAlignment="1">
      <alignment horizontal="right" vertical="center"/>
    </xf>
    <xf numFmtId="176" fontId="3" fillId="9" borderId="43" xfId="0" applyNumberFormat="1" applyFont="1" applyFill="1" applyBorder="1" applyAlignment="1">
      <alignment horizontal="center" vertical="center" wrapText="1"/>
    </xf>
    <xf numFmtId="176" fontId="3" fillId="9" borderId="44" xfId="0" applyNumberFormat="1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right" vertical="center"/>
    </xf>
    <xf numFmtId="0" fontId="11" fillId="11" borderId="21" xfId="0" applyFont="1" applyFill="1" applyBorder="1" applyAlignment="1">
      <alignment horizontal="right" vertical="center"/>
    </xf>
    <xf numFmtId="0" fontId="11" fillId="11" borderId="22" xfId="0" applyFont="1" applyFill="1" applyBorder="1" applyAlignment="1">
      <alignment horizontal="right" vertical="center"/>
    </xf>
    <xf numFmtId="179" fontId="11" fillId="11" borderId="46" xfId="0" applyNumberFormat="1" applyFont="1" applyFill="1" applyBorder="1" applyAlignment="1">
      <alignment horizontal="center" vertical="center"/>
    </xf>
    <xf numFmtId="179" fontId="11" fillId="11" borderId="21" xfId="0" applyNumberFormat="1" applyFont="1" applyFill="1" applyBorder="1" applyAlignment="1">
      <alignment horizontal="center" vertical="center"/>
    </xf>
    <xf numFmtId="179" fontId="11" fillId="11" borderId="47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3" fontId="1" fillId="9" borderId="10" xfId="0" applyNumberFormat="1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right" vertical="center" wrapText="1"/>
    </xf>
    <xf numFmtId="0" fontId="17" fillId="10" borderId="7" xfId="0" applyFont="1" applyFill="1" applyBorder="1" applyAlignment="1">
      <alignment horizontal="right" vertical="center" wrapText="1"/>
    </xf>
    <xf numFmtId="0" fontId="11" fillId="6" borderId="16" xfId="0" applyFont="1" applyFill="1" applyBorder="1" applyAlignment="1">
      <alignment horizontal="right" vertical="center"/>
    </xf>
    <xf numFmtId="0" fontId="11" fillId="6" borderId="26" xfId="0" applyFont="1" applyFill="1" applyBorder="1" applyAlignment="1">
      <alignment horizontal="right" vertical="center"/>
    </xf>
    <xf numFmtId="0" fontId="11" fillId="6" borderId="27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"/>
  <sheetViews>
    <sheetView tabSelected="1" zoomScale="70" zoomScaleNormal="70" workbookViewId="0">
      <selection activeCell="F28" sqref="F28"/>
    </sheetView>
  </sheetViews>
  <sheetFormatPr defaultColWidth="8.88671875" defaultRowHeight="15.6"/>
  <cols>
    <col min="1" max="10" width="15.77734375" style="11" customWidth="1"/>
    <col min="11" max="11" width="22.21875" style="11" bestFit="1" customWidth="1"/>
    <col min="12" max="16384" width="8.88671875" style="11"/>
  </cols>
  <sheetData>
    <row r="1" spans="1:11" ht="25.05" customHeight="1">
      <c r="A1" s="170" t="s">
        <v>5</v>
      </c>
      <c r="B1" s="171"/>
      <c r="C1" s="22" t="s">
        <v>6</v>
      </c>
      <c r="D1" s="22" t="s">
        <v>10</v>
      </c>
      <c r="E1" s="22" t="s">
        <v>9</v>
      </c>
      <c r="F1" s="22" t="s">
        <v>24</v>
      </c>
      <c r="G1" s="22" t="s">
        <v>11</v>
      </c>
      <c r="H1" s="23" t="s">
        <v>25</v>
      </c>
      <c r="I1" s="24" t="s">
        <v>26</v>
      </c>
      <c r="J1" s="25" t="s">
        <v>7</v>
      </c>
      <c r="K1" s="163" t="s">
        <v>232</v>
      </c>
    </row>
    <row r="2" spans="1:11" ht="25.05" customHeight="1">
      <c r="A2" s="38" t="s">
        <v>13</v>
      </c>
      <c r="B2" s="39" t="s">
        <v>14</v>
      </c>
      <c r="C2" s="39" t="s">
        <v>15</v>
      </c>
      <c r="D2" s="40">
        <v>100000</v>
      </c>
      <c r="E2" s="39" t="s">
        <v>16</v>
      </c>
      <c r="F2" s="40">
        <f>200000+50000*4</f>
        <v>400000</v>
      </c>
      <c r="G2" s="39" t="s">
        <v>16</v>
      </c>
      <c r="H2" s="39" t="s">
        <v>16</v>
      </c>
      <c r="I2" s="39" t="s">
        <v>16</v>
      </c>
      <c r="J2" s="28">
        <f t="shared" ref="J2:J6" si="0">SUM(F2:I2)</f>
        <v>400000</v>
      </c>
    </row>
    <row r="3" spans="1:11" ht="25.05" customHeight="1">
      <c r="A3" s="38" t="s">
        <v>8</v>
      </c>
      <c r="B3" s="41" t="s">
        <v>0</v>
      </c>
      <c r="C3" s="37">
        <v>43577</v>
      </c>
      <c r="D3" s="40">
        <v>38000</v>
      </c>
      <c r="E3" s="41">
        <v>1349</v>
      </c>
      <c r="F3" s="40">
        <v>38000</v>
      </c>
      <c r="G3" s="40">
        <v>46609</v>
      </c>
      <c r="H3" s="40" t="s">
        <v>187</v>
      </c>
      <c r="I3" s="39" t="s">
        <v>207</v>
      </c>
      <c r="J3" s="28">
        <f t="shared" si="0"/>
        <v>84609</v>
      </c>
      <c r="K3" s="163">
        <v>5600</v>
      </c>
    </row>
    <row r="4" spans="1:11" ht="25.05" customHeight="1">
      <c r="A4" s="38" t="s">
        <v>1</v>
      </c>
      <c r="B4" s="41" t="s">
        <v>2</v>
      </c>
      <c r="C4" s="37">
        <v>43817</v>
      </c>
      <c r="D4" s="40">
        <v>38000</v>
      </c>
      <c r="E4" s="41">
        <v>1109</v>
      </c>
      <c r="F4" s="40">
        <v>38000</v>
      </c>
      <c r="G4" s="40">
        <f>201976-F4-I4</f>
        <v>159976</v>
      </c>
      <c r="H4" s="40" t="s">
        <v>187</v>
      </c>
      <c r="I4" s="40">
        <v>4000</v>
      </c>
      <c r="J4" s="28">
        <f t="shared" si="0"/>
        <v>201976</v>
      </c>
      <c r="K4" s="163" t="s">
        <v>224</v>
      </c>
    </row>
    <row r="5" spans="1:11" ht="25.05" customHeight="1">
      <c r="A5" s="42" t="s">
        <v>3</v>
      </c>
      <c r="B5" s="43" t="s">
        <v>4</v>
      </c>
      <c r="C5" s="37">
        <v>43822</v>
      </c>
      <c r="D5" s="40">
        <v>36000</v>
      </c>
      <c r="E5" s="41">
        <v>1104</v>
      </c>
      <c r="F5" s="40">
        <v>36000</v>
      </c>
      <c r="G5" s="135">
        <f>108333-F5</f>
        <v>72333</v>
      </c>
      <c r="H5" s="40" t="s">
        <v>187</v>
      </c>
      <c r="I5" s="40" t="s">
        <v>187</v>
      </c>
      <c r="J5" s="28">
        <f t="shared" si="0"/>
        <v>108333</v>
      </c>
      <c r="K5" s="163">
        <v>3719</v>
      </c>
    </row>
    <row r="6" spans="1:11" ht="25.05" customHeight="1">
      <c r="A6" s="36" t="s">
        <v>32</v>
      </c>
      <c r="B6" s="41" t="s">
        <v>33</v>
      </c>
      <c r="C6" s="37">
        <v>44874</v>
      </c>
      <c r="D6" s="40">
        <v>33000</v>
      </c>
      <c r="E6" s="32">
        <v>52</v>
      </c>
      <c r="F6" s="40">
        <f>D6/365*E6</f>
        <v>4701.3698630136987</v>
      </c>
      <c r="G6" s="45" t="s">
        <v>187</v>
      </c>
      <c r="H6" s="40" t="s">
        <v>187</v>
      </c>
      <c r="I6" s="40" t="s">
        <v>187</v>
      </c>
      <c r="J6" s="28">
        <f t="shared" si="0"/>
        <v>4701.3698630136987</v>
      </c>
    </row>
    <row r="7" spans="1:11" ht="25.05" customHeight="1" thickBot="1">
      <c r="A7" s="17"/>
      <c r="B7" s="16"/>
      <c r="C7" s="7"/>
      <c r="D7" s="18"/>
      <c r="E7" s="44"/>
      <c r="F7" s="45"/>
      <c r="G7" s="40"/>
      <c r="H7" s="40"/>
      <c r="I7" s="39"/>
      <c r="J7" s="28"/>
    </row>
    <row r="8" spans="1:11" ht="25.05" customHeight="1" thickBot="1">
      <c r="A8" s="172" t="s">
        <v>27</v>
      </c>
      <c r="B8" s="173"/>
      <c r="C8" s="173"/>
      <c r="D8" s="173"/>
      <c r="E8" s="173"/>
      <c r="F8" s="173"/>
      <c r="G8" s="173"/>
      <c r="H8" s="173"/>
      <c r="I8" s="174"/>
      <c r="J8" s="93">
        <f>SUM(J2:J7)</f>
        <v>799619.36986301374</v>
      </c>
    </row>
    <row r="9" spans="1:11" ht="25.05" customHeight="1"/>
    <row r="10" spans="1:11" ht="25.05" customHeight="1"/>
  </sheetData>
  <mergeCells count="2">
    <mergeCell ref="A1:B1"/>
    <mergeCell ref="A8:I8"/>
  </mergeCells>
  <phoneticPr fontId="2" type="noConversion"/>
  <pageMargins left="0.7" right="0.7" top="0.75" bottom="0.75" header="0.3" footer="0.3"/>
  <pageSetup paperSize="9" orientation="portrait" r:id="rId1"/>
  <ignoredErrors>
    <ignoredError sqref="J3:J5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zoomScale="70" zoomScaleNormal="70" workbookViewId="0">
      <pane ySplit="5" topLeftCell="A6" activePane="bottomLeft" state="frozen"/>
      <selection pane="bottomLeft" activeCell="N10" sqref="N10"/>
    </sheetView>
  </sheetViews>
  <sheetFormatPr defaultColWidth="8.88671875" defaultRowHeight="15.6"/>
  <cols>
    <col min="1" max="8" width="15.77734375" style="11" customWidth="1"/>
    <col min="9" max="9" width="15.77734375" style="1" customWidth="1"/>
    <col min="10" max="10" width="27.33203125" style="1" customWidth="1"/>
    <col min="11" max="16384" width="8.88671875" style="1"/>
  </cols>
  <sheetData>
    <row r="1" spans="1:10" s="11" customFormat="1" ht="25.05" customHeight="1">
      <c r="A1" s="14" t="s">
        <v>28</v>
      </c>
      <c r="B1" s="15" t="s">
        <v>6</v>
      </c>
      <c r="C1" s="15" t="s">
        <v>10</v>
      </c>
      <c r="D1" s="15" t="s">
        <v>9</v>
      </c>
      <c r="E1" s="15" t="s">
        <v>24</v>
      </c>
      <c r="F1" s="23" t="s">
        <v>31</v>
      </c>
      <c r="G1" s="23" t="s">
        <v>25</v>
      </c>
      <c r="H1" s="24" t="s">
        <v>26</v>
      </c>
      <c r="I1" s="13" t="s">
        <v>7</v>
      </c>
    </row>
    <row r="2" spans="1:10" s="11" customFormat="1" ht="25.05" customHeight="1" thickBot="1">
      <c r="A2" s="48" t="s">
        <v>8</v>
      </c>
      <c r="B2" s="46">
        <v>43577</v>
      </c>
      <c r="C2" s="49">
        <v>38000</v>
      </c>
      <c r="D2" s="47">
        <v>1349</v>
      </c>
      <c r="E2" s="2">
        <v>38000</v>
      </c>
      <c r="F2" s="2">
        <f>46609</f>
        <v>46609</v>
      </c>
      <c r="G2" s="2">
        <v>0</v>
      </c>
      <c r="H2" s="2">
        <v>0</v>
      </c>
      <c r="I2" s="3">
        <f>E2+F2+G2+H2</f>
        <v>84609</v>
      </c>
    </row>
    <row r="3" spans="1:10" ht="25.05" customHeight="1" thickBot="1">
      <c r="F3" s="10"/>
      <c r="G3" s="10"/>
      <c r="H3" s="8"/>
      <c r="I3" s="11"/>
      <c r="J3" s="11"/>
    </row>
    <row r="4" spans="1:10" ht="25.05" customHeight="1">
      <c r="A4" s="191" t="s">
        <v>234</v>
      </c>
      <c r="B4" s="192"/>
      <c r="C4" s="192"/>
      <c r="D4" s="192"/>
      <c r="E4" s="192"/>
      <c r="F4" s="192"/>
      <c r="G4" s="192"/>
      <c r="H4" s="192"/>
      <c r="I4" s="193"/>
      <c r="J4" s="11"/>
    </row>
    <row r="5" spans="1:10" ht="25.05" customHeight="1">
      <c r="A5" s="113" t="s">
        <v>17</v>
      </c>
      <c r="B5" s="56" t="s">
        <v>18</v>
      </c>
      <c r="C5" s="194" t="s">
        <v>19</v>
      </c>
      <c r="D5" s="195"/>
      <c r="E5" s="196"/>
      <c r="F5" s="56" t="s">
        <v>20</v>
      </c>
      <c r="G5" s="56" t="s">
        <v>21</v>
      </c>
      <c r="H5" s="56" t="s">
        <v>22</v>
      </c>
      <c r="I5" s="136" t="s">
        <v>31</v>
      </c>
      <c r="J5" s="11"/>
    </row>
    <row r="6" spans="1:10" ht="25.05" customHeight="1">
      <c r="A6" s="197" t="s">
        <v>57</v>
      </c>
      <c r="B6" s="63" t="s">
        <v>221</v>
      </c>
      <c r="C6" s="190" t="s">
        <v>220</v>
      </c>
      <c r="D6" s="190"/>
      <c r="E6" s="190"/>
      <c r="F6" s="137">
        <v>44969</v>
      </c>
      <c r="G6" s="58" t="s">
        <v>0</v>
      </c>
      <c r="H6" s="142"/>
      <c r="I6" s="123">
        <f>500*10</f>
        <v>5000</v>
      </c>
      <c r="J6" s="11"/>
    </row>
    <row r="7" spans="1:10" ht="25.05" customHeight="1">
      <c r="A7" s="197"/>
      <c r="B7" s="63" t="s">
        <v>44</v>
      </c>
      <c r="C7" s="190" t="s">
        <v>45</v>
      </c>
      <c r="D7" s="190"/>
      <c r="E7" s="190"/>
      <c r="F7" s="57" t="s">
        <v>46</v>
      </c>
      <c r="G7" s="58" t="s">
        <v>0</v>
      </c>
      <c r="H7" s="142">
        <v>6533333</v>
      </c>
      <c r="I7" s="123">
        <v>29609</v>
      </c>
      <c r="J7" s="11"/>
    </row>
    <row r="8" spans="1:10" ht="73.8" customHeight="1">
      <c r="A8" s="197"/>
      <c r="B8" s="63" t="s">
        <v>48</v>
      </c>
      <c r="C8" s="190" t="s">
        <v>49</v>
      </c>
      <c r="D8" s="190"/>
      <c r="E8" s="190"/>
      <c r="F8" s="57" t="s">
        <v>46</v>
      </c>
      <c r="G8" s="58" t="s">
        <v>0</v>
      </c>
      <c r="H8" s="59">
        <v>337950</v>
      </c>
      <c r="I8" s="123">
        <v>4000</v>
      </c>
      <c r="J8" s="11"/>
    </row>
    <row r="9" spans="1:10" ht="54" customHeight="1">
      <c r="A9" s="197"/>
      <c r="B9" s="63" t="s">
        <v>50</v>
      </c>
      <c r="C9" s="190" t="s">
        <v>51</v>
      </c>
      <c r="D9" s="190"/>
      <c r="E9" s="190"/>
      <c r="F9" s="57" t="s">
        <v>46</v>
      </c>
      <c r="G9" s="58" t="s">
        <v>0</v>
      </c>
      <c r="H9" s="59">
        <v>185149</v>
      </c>
      <c r="I9" s="123">
        <v>3000</v>
      </c>
      <c r="J9" s="11"/>
    </row>
    <row r="10" spans="1:10" ht="40.799999999999997" customHeight="1">
      <c r="A10" s="197"/>
      <c r="B10" s="63" t="s">
        <v>52</v>
      </c>
      <c r="C10" s="190" t="s">
        <v>53</v>
      </c>
      <c r="D10" s="190"/>
      <c r="E10" s="190"/>
      <c r="F10" s="57" t="s">
        <v>54</v>
      </c>
      <c r="G10" s="58" t="s">
        <v>0</v>
      </c>
      <c r="H10" s="59">
        <v>272867</v>
      </c>
      <c r="I10" s="124">
        <v>3000</v>
      </c>
      <c r="J10" s="11"/>
    </row>
    <row r="11" spans="1:10" ht="42" customHeight="1">
      <c r="A11" s="197"/>
      <c r="B11" s="63" t="s">
        <v>55</v>
      </c>
      <c r="C11" s="190" t="s">
        <v>56</v>
      </c>
      <c r="D11" s="190"/>
      <c r="E11" s="190"/>
      <c r="F11" s="57" t="s">
        <v>54</v>
      </c>
      <c r="G11" s="58" t="s">
        <v>0</v>
      </c>
      <c r="H11" s="59">
        <v>851400</v>
      </c>
      <c r="I11" s="124">
        <v>2000</v>
      </c>
      <c r="J11" s="11"/>
    </row>
    <row r="12" spans="1:10" ht="42" customHeight="1">
      <c r="A12" s="180" t="s">
        <v>230</v>
      </c>
      <c r="B12" s="156" t="s">
        <v>94</v>
      </c>
      <c r="C12" s="183" t="s">
        <v>95</v>
      </c>
      <c r="D12" s="183"/>
      <c r="E12" s="183"/>
      <c r="F12" s="158">
        <v>45086</v>
      </c>
      <c r="G12" s="150" t="s">
        <v>64</v>
      </c>
      <c r="H12" s="142">
        <v>61905</v>
      </c>
      <c r="I12" s="168">
        <v>200</v>
      </c>
      <c r="J12" s="175" t="s">
        <v>231</v>
      </c>
    </row>
    <row r="13" spans="1:10" ht="25.05" customHeight="1">
      <c r="A13" s="181"/>
      <c r="B13" s="156" t="s">
        <v>108</v>
      </c>
      <c r="C13" s="183" t="s">
        <v>109</v>
      </c>
      <c r="D13" s="183"/>
      <c r="E13" s="183"/>
      <c r="F13" s="158">
        <v>45118</v>
      </c>
      <c r="G13" s="150" t="s">
        <v>110</v>
      </c>
      <c r="H13" s="142">
        <v>120000</v>
      </c>
      <c r="I13" s="168">
        <v>2500</v>
      </c>
      <c r="J13" s="175"/>
    </row>
    <row r="14" spans="1:10" ht="25.05" customHeight="1">
      <c r="A14" s="182"/>
      <c r="B14" s="156" t="s">
        <v>116</v>
      </c>
      <c r="C14" s="184" t="s">
        <v>117</v>
      </c>
      <c r="D14" s="184"/>
      <c r="E14" s="184"/>
      <c r="F14" s="158">
        <v>45135</v>
      </c>
      <c r="G14" s="150" t="s">
        <v>118</v>
      </c>
      <c r="H14" s="142">
        <v>140000</v>
      </c>
      <c r="I14" s="168">
        <v>200</v>
      </c>
      <c r="J14" s="175"/>
    </row>
    <row r="15" spans="1:10" ht="25.05" customHeight="1">
      <c r="A15" s="180" t="s">
        <v>228</v>
      </c>
      <c r="B15" s="152" t="s">
        <v>156</v>
      </c>
      <c r="C15" s="198" t="s">
        <v>157</v>
      </c>
      <c r="D15" s="199"/>
      <c r="E15" s="200"/>
      <c r="F15" s="153" t="s">
        <v>158</v>
      </c>
      <c r="G15" s="153" t="s">
        <v>118</v>
      </c>
      <c r="H15" s="154">
        <v>2676190</v>
      </c>
      <c r="I15" s="168">
        <v>1000</v>
      </c>
      <c r="J15" s="175"/>
    </row>
    <row r="16" spans="1:10" ht="25.05" customHeight="1">
      <c r="A16" s="181"/>
      <c r="B16" s="152" t="s">
        <v>198</v>
      </c>
      <c r="C16" s="179" t="s">
        <v>199</v>
      </c>
      <c r="D16" s="179"/>
      <c r="E16" s="179"/>
      <c r="F16" s="35">
        <v>45226</v>
      </c>
      <c r="G16" s="153" t="s">
        <v>47</v>
      </c>
      <c r="H16" s="151">
        <v>49233</v>
      </c>
      <c r="I16" s="168">
        <v>500</v>
      </c>
      <c r="J16" s="175"/>
    </row>
    <row r="17" spans="1:10" ht="25.05" customHeight="1">
      <c r="A17" s="181"/>
      <c r="B17" s="185" t="s">
        <v>159</v>
      </c>
      <c r="C17" s="179" t="s">
        <v>160</v>
      </c>
      <c r="D17" s="179"/>
      <c r="E17" s="179"/>
      <c r="F17" s="186" t="s">
        <v>161</v>
      </c>
      <c r="G17" s="186" t="s">
        <v>118</v>
      </c>
      <c r="H17" s="178">
        <v>376429</v>
      </c>
      <c r="I17" s="176">
        <v>1200</v>
      </c>
      <c r="J17" s="175"/>
    </row>
    <row r="18" spans="1:10" ht="25.05" customHeight="1">
      <c r="A18" s="182"/>
      <c r="B18" s="185"/>
      <c r="C18" s="179" t="s">
        <v>162</v>
      </c>
      <c r="D18" s="179"/>
      <c r="E18" s="179"/>
      <c r="F18" s="186"/>
      <c r="G18" s="186"/>
      <c r="H18" s="178"/>
      <c r="I18" s="177"/>
      <c r="J18" s="175"/>
    </row>
    <row r="19" spans="1:10" ht="25.05" customHeight="1" thickBot="1">
      <c r="A19" s="187" t="s">
        <v>210</v>
      </c>
      <c r="B19" s="188"/>
      <c r="C19" s="188"/>
      <c r="D19" s="188"/>
      <c r="E19" s="188"/>
      <c r="F19" s="188"/>
      <c r="G19" s="188"/>
      <c r="H19" s="189"/>
      <c r="I19" s="167">
        <f>SUM(I6:I18)</f>
        <v>52209</v>
      </c>
      <c r="J19" s="11"/>
    </row>
    <row r="20" spans="1:10" ht="25.05" customHeight="1">
      <c r="F20" s="10"/>
      <c r="G20" s="10"/>
      <c r="H20" s="8"/>
      <c r="I20" s="11"/>
      <c r="J20" s="11"/>
    </row>
    <row r="21" spans="1:10" ht="25.05" customHeight="1">
      <c r="F21" s="10"/>
      <c r="G21" s="10"/>
      <c r="H21" s="8"/>
      <c r="I21" s="11"/>
      <c r="J21" s="11"/>
    </row>
    <row r="22" spans="1:10" ht="25.05" customHeight="1">
      <c r="F22" s="10"/>
      <c r="G22" s="10"/>
      <c r="H22" s="8"/>
      <c r="I22" s="11"/>
      <c r="J22" s="11"/>
    </row>
    <row r="23" spans="1:10" ht="25.05" customHeight="1" thickBot="1">
      <c r="F23" s="4" t="s">
        <v>12</v>
      </c>
      <c r="G23" s="6"/>
      <c r="H23" s="6"/>
      <c r="I23" s="6"/>
      <c r="J23" s="11"/>
    </row>
    <row r="24" spans="1:10" ht="25.05" customHeight="1">
      <c r="D24" s="10"/>
      <c r="E24" s="10"/>
      <c r="F24" s="8"/>
      <c r="H24" s="1"/>
    </row>
    <row r="25" spans="1:10" ht="25.05" customHeight="1">
      <c r="D25" s="1"/>
      <c r="E25" s="1"/>
    </row>
    <row r="26" spans="1:10" ht="25.05" customHeight="1"/>
    <row r="27" spans="1:10" ht="22.05" customHeight="1"/>
    <row r="28" spans="1:10" ht="22.05" customHeight="1"/>
    <row r="29" spans="1:10" ht="22.05" customHeight="1"/>
    <row r="30" spans="1:10" ht="22.05" customHeight="1"/>
    <row r="31" spans="1:10" ht="22.05" customHeight="1"/>
    <row r="32" spans="1:10" ht="22.05" customHeight="1"/>
    <row r="33" spans="3:8" ht="22.05" customHeight="1"/>
    <row r="34" spans="3:8" ht="22.05" customHeight="1"/>
    <row r="35" spans="3:8" ht="22.05" customHeight="1"/>
    <row r="36" spans="3:8" ht="22.05" customHeight="1"/>
    <row r="37" spans="3:8" ht="22.05" customHeight="1"/>
    <row r="38" spans="3:8" ht="22.05" customHeight="1"/>
    <row r="39" spans="3:8" ht="22.05" customHeight="1">
      <c r="C39" s="1"/>
      <c r="D39" s="1"/>
      <c r="E39" s="1"/>
      <c r="F39" s="1"/>
      <c r="G39" s="1"/>
      <c r="H39" s="1"/>
    </row>
    <row r="40" spans="3:8" ht="22.05" customHeight="1">
      <c r="C40" s="1"/>
      <c r="D40" s="1"/>
      <c r="E40" s="1"/>
      <c r="F40" s="1"/>
      <c r="G40" s="1"/>
      <c r="H40" s="1"/>
    </row>
    <row r="41" spans="3:8" ht="22.05" customHeight="1">
      <c r="C41" s="1"/>
      <c r="D41" s="1"/>
      <c r="E41" s="1"/>
      <c r="F41" s="1"/>
      <c r="G41" s="1"/>
      <c r="H41" s="1"/>
    </row>
    <row r="42" spans="3:8" ht="22.05" customHeight="1">
      <c r="C42" s="1"/>
      <c r="D42" s="1"/>
      <c r="E42" s="1"/>
      <c r="F42" s="1"/>
      <c r="G42" s="1"/>
      <c r="H42" s="1"/>
    </row>
    <row r="43" spans="3:8" ht="22.05" customHeight="1">
      <c r="C43" s="1"/>
      <c r="D43" s="1"/>
      <c r="E43" s="1"/>
      <c r="F43" s="1"/>
      <c r="G43" s="1"/>
      <c r="H43" s="1"/>
    </row>
    <row r="44" spans="3:8" ht="22.05" customHeight="1">
      <c r="C44" s="1"/>
      <c r="D44" s="1"/>
      <c r="E44" s="1"/>
      <c r="F44" s="1"/>
      <c r="G44" s="1"/>
      <c r="H44" s="1"/>
    </row>
    <row r="45" spans="3:8" ht="22.05" customHeight="1">
      <c r="C45" s="1"/>
      <c r="D45" s="1"/>
      <c r="E45" s="1"/>
      <c r="F45" s="1"/>
      <c r="G45" s="1"/>
      <c r="H45" s="1"/>
    </row>
    <row r="46" spans="3:8" ht="22.05" customHeight="1">
      <c r="C46" s="1"/>
      <c r="D46" s="1"/>
      <c r="E46" s="1"/>
      <c r="F46" s="1"/>
      <c r="G46" s="1"/>
      <c r="H46" s="1"/>
    </row>
    <row r="47" spans="3:8">
      <c r="C47" s="1"/>
      <c r="D47" s="1"/>
      <c r="E47" s="1"/>
      <c r="F47" s="1"/>
      <c r="G47" s="1"/>
      <c r="H47" s="1"/>
    </row>
    <row r="48" spans="3:8">
      <c r="C48" s="1"/>
      <c r="D48" s="1"/>
      <c r="E48" s="1"/>
      <c r="F48" s="1"/>
      <c r="G48" s="1"/>
      <c r="H48" s="1"/>
    </row>
  </sheetData>
  <mergeCells count="25">
    <mergeCell ref="A19:H19"/>
    <mergeCell ref="C6:E6"/>
    <mergeCell ref="A4:I4"/>
    <mergeCell ref="C5:E5"/>
    <mergeCell ref="C7:E7"/>
    <mergeCell ref="C8:E8"/>
    <mergeCell ref="C9:E9"/>
    <mergeCell ref="A6:A11"/>
    <mergeCell ref="C10:E10"/>
    <mergeCell ref="C11:E11"/>
    <mergeCell ref="C15:E15"/>
    <mergeCell ref="A12:A14"/>
    <mergeCell ref="A15:A18"/>
    <mergeCell ref="C13:E13"/>
    <mergeCell ref="C14:E14"/>
    <mergeCell ref="B17:B18"/>
    <mergeCell ref="C16:E16"/>
    <mergeCell ref="C12:E12"/>
    <mergeCell ref="J12:J18"/>
    <mergeCell ref="I17:I18"/>
    <mergeCell ref="H17:H18"/>
    <mergeCell ref="C17:E17"/>
    <mergeCell ref="C18:E18"/>
    <mergeCell ref="F17:F18"/>
    <mergeCell ref="G17:G18"/>
  </mergeCells>
  <phoneticPr fontId="2" type="noConversion"/>
  <pageMargins left="0.23622047244094488" right="0.23622047244094488" top="0.51181102362204722" bottom="0.51181102362204722" header="0" footer="0"/>
  <pageSetup paperSize="9" scale="56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zoomScale="70" zoomScaleNormal="70" workbookViewId="0">
      <pane ySplit="5" topLeftCell="A26" activePane="bottomLeft" state="frozenSplit"/>
      <selection pane="bottomLeft" activeCell="A4" sqref="A4:I4"/>
    </sheetView>
  </sheetViews>
  <sheetFormatPr defaultColWidth="8.88671875" defaultRowHeight="15.6"/>
  <cols>
    <col min="1" max="2" width="15.77734375" style="11" customWidth="1"/>
    <col min="3" max="3" width="65.77734375" style="11" customWidth="1"/>
    <col min="4" max="10" width="15.77734375" style="11" customWidth="1"/>
    <col min="11" max="16384" width="8.88671875" style="11"/>
  </cols>
  <sheetData>
    <row r="1" spans="1:10" s="27" customFormat="1" ht="25.05" customHeight="1">
      <c r="A1" s="33" t="s">
        <v>28</v>
      </c>
      <c r="B1" s="34" t="s">
        <v>6</v>
      </c>
      <c r="C1" s="34" t="s">
        <v>10</v>
      </c>
      <c r="D1" s="34" t="s">
        <v>9</v>
      </c>
      <c r="E1" s="34" t="s">
        <v>24</v>
      </c>
      <c r="F1" s="34" t="s">
        <v>11</v>
      </c>
      <c r="G1" s="23" t="s">
        <v>25</v>
      </c>
      <c r="H1" s="24" t="s">
        <v>26</v>
      </c>
      <c r="I1" s="26" t="s">
        <v>7</v>
      </c>
    </row>
    <row r="2" spans="1:10" ht="25.05" customHeight="1" thickBot="1">
      <c r="A2" s="48" t="s">
        <v>1</v>
      </c>
      <c r="B2" s="46">
        <v>43817</v>
      </c>
      <c r="C2" s="49">
        <v>38000</v>
      </c>
      <c r="D2" s="47">
        <v>1109</v>
      </c>
      <c r="E2" s="49">
        <v>38000</v>
      </c>
      <c r="F2" s="49">
        <f>201976-H2-E2</f>
        <v>159976</v>
      </c>
      <c r="G2" s="49" t="s">
        <v>187</v>
      </c>
      <c r="H2" s="2">
        <v>4000</v>
      </c>
      <c r="I2" s="3">
        <f>SUM(E2:H2)</f>
        <v>201976</v>
      </c>
    </row>
    <row r="3" spans="1:10" ht="25.05" customHeight="1" thickBot="1"/>
    <row r="4" spans="1:10" ht="25.05" customHeight="1">
      <c r="A4" s="229" t="s">
        <v>234</v>
      </c>
      <c r="B4" s="230"/>
      <c r="C4" s="230"/>
      <c r="D4" s="230"/>
      <c r="E4" s="230"/>
      <c r="F4" s="230"/>
      <c r="G4" s="230"/>
      <c r="H4" s="230"/>
      <c r="I4" s="231"/>
    </row>
    <row r="5" spans="1:10" ht="25.05" customHeight="1">
      <c r="A5" s="113" t="s">
        <v>17</v>
      </c>
      <c r="B5" s="56" t="s">
        <v>18</v>
      </c>
      <c r="C5" s="56" t="s">
        <v>19</v>
      </c>
      <c r="D5" s="56" t="s">
        <v>20</v>
      </c>
      <c r="E5" s="56" t="s">
        <v>21</v>
      </c>
      <c r="F5" s="56" t="s">
        <v>22</v>
      </c>
      <c r="G5" s="60" t="s">
        <v>195</v>
      </c>
      <c r="H5" s="60" t="s">
        <v>196</v>
      </c>
      <c r="I5" s="114" t="s">
        <v>42</v>
      </c>
    </row>
    <row r="6" spans="1:10" s="19" customFormat="1" ht="25.05" customHeight="1">
      <c r="A6" s="226" t="s">
        <v>229</v>
      </c>
      <c r="B6" s="145" t="s">
        <v>83</v>
      </c>
      <c r="C6" s="50" t="s">
        <v>84</v>
      </c>
      <c r="D6" s="140" t="s">
        <v>85</v>
      </c>
      <c r="E6" s="140" t="s">
        <v>86</v>
      </c>
      <c r="F6" s="139">
        <v>294479</v>
      </c>
      <c r="G6" s="62">
        <v>1000</v>
      </c>
      <c r="H6" s="138" t="s">
        <v>205</v>
      </c>
      <c r="I6" s="144" t="s">
        <v>205</v>
      </c>
    </row>
    <row r="7" spans="1:10" s="19" customFormat="1" ht="25.05" customHeight="1">
      <c r="A7" s="226"/>
      <c r="B7" s="145" t="s">
        <v>61</v>
      </c>
      <c r="C7" s="50" t="s">
        <v>62</v>
      </c>
      <c r="D7" s="140" t="s">
        <v>197</v>
      </c>
      <c r="E7" s="140" t="s">
        <v>64</v>
      </c>
      <c r="F7" s="139">
        <v>952381</v>
      </c>
      <c r="G7" s="143">
        <v>12000</v>
      </c>
      <c r="H7" s="143">
        <v>10929</v>
      </c>
      <c r="I7" s="144" t="s">
        <v>205</v>
      </c>
    </row>
    <row r="8" spans="1:10" s="19" customFormat="1" ht="25.05" customHeight="1">
      <c r="A8" s="226"/>
      <c r="B8" s="145" t="s">
        <v>116</v>
      </c>
      <c r="C8" s="50" t="s">
        <v>117</v>
      </c>
      <c r="D8" s="146">
        <v>45135</v>
      </c>
      <c r="E8" s="140" t="s">
        <v>118</v>
      </c>
      <c r="F8" s="139">
        <v>140000</v>
      </c>
      <c r="G8" s="62">
        <v>1000</v>
      </c>
      <c r="H8" s="138" t="s">
        <v>205</v>
      </c>
      <c r="I8" s="144" t="s">
        <v>205</v>
      </c>
    </row>
    <row r="9" spans="1:10" s="19" customFormat="1" ht="25.05" customHeight="1">
      <c r="A9" s="226"/>
      <c r="B9" s="145" t="s">
        <v>127</v>
      </c>
      <c r="C9" s="50" t="s">
        <v>128</v>
      </c>
      <c r="D9" s="146">
        <v>45155</v>
      </c>
      <c r="E9" s="140" t="s">
        <v>64</v>
      </c>
      <c r="F9" s="147">
        <v>142857</v>
      </c>
      <c r="G9" s="138" t="s">
        <v>205</v>
      </c>
      <c r="H9" s="143">
        <v>4011</v>
      </c>
      <c r="I9" s="144" t="s">
        <v>205</v>
      </c>
    </row>
    <row r="10" spans="1:10" s="19" customFormat="1" ht="25.05" customHeight="1">
      <c r="A10" s="226"/>
      <c r="B10" s="156" t="s">
        <v>67</v>
      </c>
      <c r="C10" s="157" t="s">
        <v>68</v>
      </c>
      <c r="D10" s="158">
        <v>44985</v>
      </c>
      <c r="E10" s="138" t="s">
        <v>69</v>
      </c>
      <c r="F10" s="142">
        <v>571429</v>
      </c>
      <c r="G10" s="159">
        <v>1200</v>
      </c>
      <c r="H10" s="160" t="s">
        <v>205</v>
      </c>
      <c r="I10" s="161" t="s">
        <v>205</v>
      </c>
      <c r="J10" s="238" t="s">
        <v>223</v>
      </c>
    </row>
    <row r="11" spans="1:10" s="19" customFormat="1" ht="25.05" customHeight="1">
      <c r="A11" s="226"/>
      <c r="B11" s="156" t="s">
        <v>94</v>
      </c>
      <c r="C11" s="157" t="s">
        <v>95</v>
      </c>
      <c r="D11" s="158">
        <v>45086</v>
      </c>
      <c r="E11" s="138" t="s">
        <v>64</v>
      </c>
      <c r="F11" s="142">
        <v>61905</v>
      </c>
      <c r="G11" s="159">
        <v>300</v>
      </c>
      <c r="H11" s="160" t="s">
        <v>205</v>
      </c>
      <c r="I11" s="161" t="s">
        <v>205</v>
      </c>
      <c r="J11" s="238"/>
    </row>
    <row r="12" spans="1:10" s="19" customFormat="1" ht="25.05" customHeight="1">
      <c r="A12" s="141" t="s">
        <v>222</v>
      </c>
      <c r="B12" s="63" t="s">
        <v>184</v>
      </c>
      <c r="C12" s="138" t="s">
        <v>185</v>
      </c>
      <c r="D12" s="58" t="s">
        <v>186</v>
      </c>
      <c r="E12" s="58" t="s">
        <v>64</v>
      </c>
      <c r="F12" s="142">
        <v>571429</v>
      </c>
      <c r="G12" s="159">
        <v>1200</v>
      </c>
      <c r="H12" s="160" t="s">
        <v>205</v>
      </c>
      <c r="I12" s="161" t="s">
        <v>205</v>
      </c>
      <c r="J12" s="238"/>
    </row>
    <row r="13" spans="1:10" s="19" customFormat="1" ht="25.05" customHeight="1" thickBot="1">
      <c r="A13" s="233" t="s">
        <v>203</v>
      </c>
      <c r="B13" s="234"/>
      <c r="C13" s="234"/>
      <c r="D13" s="234"/>
      <c r="E13" s="235"/>
      <c r="F13" s="236">
        <f>SUM(F6:F9)</f>
        <v>1529717</v>
      </c>
      <c r="G13" s="236"/>
      <c r="H13" s="236"/>
      <c r="I13" s="237"/>
    </row>
    <row r="14" spans="1:10" s="19" customFormat="1" ht="25.05" customHeight="1">
      <c r="A14" s="225" t="s">
        <v>227</v>
      </c>
      <c r="B14" s="77" t="s">
        <v>147</v>
      </c>
      <c r="C14" s="67" t="s">
        <v>148</v>
      </c>
      <c r="D14" s="78">
        <v>45015</v>
      </c>
      <c r="E14" s="79" t="s">
        <v>118</v>
      </c>
      <c r="F14" s="68">
        <v>476190</v>
      </c>
      <c r="G14" s="97" t="s">
        <v>205</v>
      </c>
      <c r="H14" s="117">
        <v>10405</v>
      </c>
      <c r="I14" s="118" t="s">
        <v>205</v>
      </c>
    </row>
    <row r="15" spans="1:10" s="19" customFormat="1" ht="25.05" customHeight="1">
      <c r="A15" s="226"/>
      <c r="B15" s="53" t="s">
        <v>149</v>
      </c>
      <c r="C15" s="55" t="s">
        <v>150</v>
      </c>
      <c r="D15" s="35">
        <v>44993</v>
      </c>
      <c r="E15" s="54" t="s">
        <v>118</v>
      </c>
      <c r="F15" s="52">
        <v>352381</v>
      </c>
      <c r="G15" s="61" t="s">
        <v>205</v>
      </c>
      <c r="H15" s="89">
        <v>8096</v>
      </c>
      <c r="I15" s="111" t="s">
        <v>205</v>
      </c>
    </row>
    <row r="16" spans="1:10" s="19" customFormat="1" ht="25.05" customHeight="1">
      <c r="A16" s="226"/>
      <c r="B16" s="185" t="s">
        <v>151</v>
      </c>
      <c r="C16" s="55" t="s">
        <v>152</v>
      </c>
      <c r="D16" s="35">
        <v>45017</v>
      </c>
      <c r="E16" s="54" t="s">
        <v>118</v>
      </c>
      <c r="F16" s="232">
        <v>682857</v>
      </c>
      <c r="G16" s="190" t="s">
        <v>206</v>
      </c>
      <c r="H16" s="227">
        <v>12935</v>
      </c>
      <c r="I16" s="228" t="s">
        <v>206</v>
      </c>
    </row>
    <row r="17" spans="1:10" s="19" customFormat="1" ht="25.05" customHeight="1">
      <c r="A17" s="226"/>
      <c r="B17" s="185"/>
      <c r="C17" s="55" t="s">
        <v>153</v>
      </c>
      <c r="D17" s="35">
        <v>45017</v>
      </c>
      <c r="E17" s="54" t="s">
        <v>47</v>
      </c>
      <c r="F17" s="232"/>
      <c r="G17" s="190"/>
      <c r="H17" s="227"/>
      <c r="I17" s="228"/>
    </row>
    <row r="18" spans="1:10" s="19" customFormat="1" ht="25.05" customHeight="1">
      <c r="A18" s="226"/>
      <c r="B18" s="53" t="s">
        <v>154</v>
      </c>
      <c r="C18" s="55" t="s">
        <v>155</v>
      </c>
      <c r="D18" s="35">
        <v>45037</v>
      </c>
      <c r="E18" s="54" t="s">
        <v>118</v>
      </c>
      <c r="F18" s="52">
        <v>54286</v>
      </c>
      <c r="G18" s="61" t="s">
        <v>205</v>
      </c>
      <c r="H18" s="89">
        <v>1778</v>
      </c>
      <c r="I18" s="111" t="s">
        <v>205</v>
      </c>
    </row>
    <row r="19" spans="1:10" s="19" customFormat="1" ht="25.05" customHeight="1">
      <c r="A19" s="226"/>
      <c r="B19" s="185" t="s">
        <v>156</v>
      </c>
      <c r="C19" s="179" t="s">
        <v>157</v>
      </c>
      <c r="D19" s="186" t="s">
        <v>158</v>
      </c>
      <c r="E19" s="186" t="s">
        <v>118</v>
      </c>
      <c r="F19" s="232">
        <v>2676190</v>
      </c>
      <c r="G19" s="190" t="s">
        <v>206</v>
      </c>
      <c r="H19" s="227">
        <v>39217</v>
      </c>
      <c r="I19" s="228" t="s">
        <v>206</v>
      </c>
    </row>
    <row r="20" spans="1:10" s="19" customFormat="1" ht="25.05" customHeight="1">
      <c r="A20" s="226"/>
      <c r="B20" s="185"/>
      <c r="C20" s="179"/>
      <c r="D20" s="186"/>
      <c r="E20" s="186"/>
      <c r="F20" s="232"/>
      <c r="G20" s="190"/>
      <c r="H20" s="227"/>
      <c r="I20" s="228"/>
    </row>
    <row r="21" spans="1:10" s="19" customFormat="1" ht="25.05" customHeight="1">
      <c r="A21" s="226"/>
      <c r="B21" s="185" t="s">
        <v>159</v>
      </c>
      <c r="C21" s="55" t="s">
        <v>160</v>
      </c>
      <c r="D21" s="186" t="s">
        <v>161</v>
      </c>
      <c r="E21" s="186" t="s">
        <v>118</v>
      </c>
      <c r="F21" s="178">
        <v>376429</v>
      </c>
      <c r="G21" s="190" t="s">
        <v>206</v>
      </c>
      <c r="H21" s="227">
        <v>8123</v>
      </c>
      <c r="I21" s="228" t="s">
        <v>206</v>
      </c>
    </row>
    <row r="22" spans="1:10" s="19" customFormat="1" ht="25.05" customHeight="1">
      <c r="A22" s="226"/>
      <c r="B22" s="185"/>
      <c r="C22" s="55" t="s">
        <v>162</v>
      </c>
      <c r="D22" s="186"/>
      <c r="E22" s="186"/>
      <c r="F22" s="178"/>
      <c r="G22" s="190"/>
      <c r="H22" s="227"/>
      <c r="I22" s="228"/>
    </row>
    <row r="23" spans="1:10" s="19" customFormat="1" ht="25.05" customHeight="1">
      <c r="A23" s="226"/>
      <c r="B23" s="53" t="s">
        <v>163</v>
      </c>
      <c r="C23" s="55" t="s">
        <v>164</v>
      </c>
      <c r="D23" s="35">
        <v>45150</v>
      </c>
      <c r="E23" s="54" t="s">
        <v>118</v>
      </c>
      <c r="F23" s="94">
        <v>504762</v>
      </c>
      <c r="G23" s="61" t="s">
        <v>205</v>
      </c>
      <c r="H23" s="89">
        <v>12367</v>
      </c>
      <c r="I23" s="111" t="s">
        <v>205</v>
      </c>
    </row>
    <row r="24" spans="1:10" s="19" customFormat="1" ht="25.05" customHeight="1">
      <c r="A24" s="226"/>
      <c r="B24" s="53" t="s">
        <v>165</v>
      </c>
      <c r="C24" s="55" t="s">
        <v>166</v>
      </c>
      <c r="D24" s="35">
        <v>45191</v>
      </c>
      <c r="E24" s="54" t="s">
        <v>118</v>
      </c>
      <c r="F24" s="94">
        <v>45870</v>
      </c>
      <c r="G24" s="134">
        <v>504</v>
      </c>
      <c r="H24" s="61" t="s">
        <v>205</v>
      </c>
      <c r="I24" s="111" t="s">
        <v>205</v>
      </c>
    </row>
    <row r="25" spans="1:10" s="19" customFormat="1" ht="25.05" customHeight="1">
      <c r="A25" s="226"/>
      <c r="B25" s="53" t="s">
        <v>167</v>
      </c>
      <c r="C25" s="55" t="s">
        <v>168</v>
      </c>
      <c r="D25" s="35">
        <v>45220</v>
      </c>
      <c r="E25" s="54" t="s">
        <v>118</v>
      </c>
      <c r="F25" s="94">
        <v>184491</v>
      </c>
      <c r="G25" s="61" t="s">
        <v>205</v>
      </c>
      <c r="H25" s="61" t="s">
        <v>205</v>
      </c>
      <c r="I25" s="110">
        <v>1232</v>
      </c>
    </row>
    <row r="26" spans="1:10" s="19" customFormat="1" ht="25.05" customHeight="1">
      <c r="A26" s="226"/>
      <c r="B26" s="53" t="s">
        <v>169</v>
      </c>
      <c r="C26" s="55" t="s">
        <v>170</v>
      </c>
      <c r="D26" s="35">
        <v>45227</v>
      </c>
      <c r="E26" s="54" t="s">
        <v>118</v>
      </c>
      <c r="F26" s="94">
        <v>176190</v>
      </c>
      <c r="G26" s="61" t="s">
        <v>205</v>
      </c>
      <c r="H26" s="89">
        <v>5026</v>
      </c>
      <c r="I26" s="111" t="s">
        <v>205</v>
      </c>
    </row>
    <row r="27" spans="1:10" s="19" customFormat="1" ht="25.05" customHeight="1">
      <c r="A27" s="226"/>
      <c r="B27" s="53" t="s">
        <v>198</v>
      </c>
      <c r="C27" s="55" t="s">
        <v>199</v>
      </c>
      <c r="D27" s="35">
        <v>45226</v>
      </c>
      <c r="E27" s="54" t="s">
        <v>47</v>
      </c>
      <c r="F27" s="94">
        <v>49233</v>
      </c>
      <c r="G27" s="61" t="s">
        <v>205</v>
      </c>
      <c r="H27" s="61" t="s">
        <v>205</v>
      </c>
      <c r="I27" s="116">
        <v>667</v>
      </c>
    </row>
    <row r="28" spans="1:10" s="19" customFormat="1" ht="25.05" customHeight="1">
      <c r="A28" s="226"/>
      <c r="B28" s="53" t="s">
        <v>171</v>
      </c>
      <c r="C28" s="55" t="s">
        <v>172</v>
      </c>
      <c r="D28" s="35">
        <v>45234</v>
      </c>
      <c r="E28" s="54" t="s">
        <v>47</v>
      </c>
      <c r="F28" s="94">
        <v>141905</v>
      </c>
      <c r="G28" s="61" t="s">
        <v>205</v>
      </c>
      <c r="H28" s="61" t="s">
        <v>205</v>
      </c>
      <c r="I28" s="110">
        <v>1969</v>
      </c>
    </row>
    <row r="29" spans="1:10" s="19" customFormat="1" ht="25.05" customHeight="1">
      <c r="A29" s="226"/>
      <c r="B29" s="239" t="s">
        <v>173</v>
      </c>
      <c r="C29" s="241" t="s">
        <v>174</v>
      </c>
      <c r="D29" s="243" t="s">
        <v>175</v>
      </c>
      <c r="E29" s="243" t="s">
        <v>118</v>
      </c>
      <c r="F29" s="245">
        <v>2509476</v>
      </c>
      <c r="G29" s="166" t="s">
        <v>145</v>
      </c>
      <c r="H29" s="166">
        <f>25053/2</f>
        <v>12526.5</v>
      </c>
      <c r="I29" s="155" t="s">
        <v>206</v>
      </c>
    </row>
    <row r="30" spans="1:10" s="19" customFormat="1" ht="25.05" customHeight="1">
      <c r="A30" s="226"/>
      <c r="B30" s="240"/>
      <c r="C30" s="242"/>
      <c r="D30" s="244"/>
      <c r="E30" s="244"/>
      <c r="F30" s="246"/>
      <c r="G30" s="160" t="s">
        <v>205</v>
      </c>
      <c r="H30" s="159">
        <v>9919</v>
      </c>
      <c r="I30" s="161" t="s">
        <v>205</v>
      </c>
      <c r="J30" s="162" t="s">
        <v>225</v>
      </c>
    </row>
    <row r="31" spans="1:10" s="19" customFormat="1" ht="25.05" customHeight="1">
      <c r="A31" s="226"/>
      <c r="B31" s="53" t="s">
        <v>176</v>
      </c>
      <c r="C31" s="55" t="s">
        <v>177</v>
      </c>
      <c r="D31" s="35">
        <v>45254</v>
      </c>
      <c r="E31" s="54" t="s">
        <v>178</v>
      </c>
      <c r="F31" s="94">
        <v>377374</v>
      </c>
      <c r="G31" s="61" t="s">
        <v>205</v>
      </c>
      <c r="H31" s="61" t="s">
        <v>205</v>
      </c>
      <c r="I31" s="110">
        <v>10623</v>
      </c>
    </row>
    <row r="32" spans="1:10" s="19" customFormat="1" ht="25.05" customHeight="1">
      <c r="A32" s="226"/>
      <c r="B32" s="53" t="s">
        <v>200</v>
      </c>
      <c r="C32" s="55" t="s">
        <v>201</v>
      </c>
      <c r="D32" s="35">
        <v>45255</v>
      </c>
      <c r="E32" s="54" t="s">
        <v>202</v>
      </c>
      <c r="F32" s="94">
        <v>857143</v>
      </c>
      <c r="G32" s="62">
        <v>2000</v>
      </c>
      <c r="H32" s="61" t="s">
        <v>205</v>
      </c>
      <c r="I32" s="111" t="s">
        <v>205</v>
      </c>
    </row>
    <row r="33" spans="1:9" s="19" customFormat="1" ht="25.05" customHeight="1">
      <c r="A33" s="226"/>
      <c r="B33" s="185" t="s">
        <v>179</v>
      </c>
      <c r="C33" s="55" t="s">
        <v>180</v>
      </c>
      <c r="D33" s="35">
        <v>45262</v>
      </c>
      <c r="E33" s="54" t="s">
        <v>178</v>
      </c>
      <c r="F33" s="178">
        <v>980953</v>
      </c>
      <c r="G33" s="190" t="s">
        <v>206</v>
      </c>
      <c r="H33" s="227">
        <v>21183</v>
      </c>
      <c r="I33" s="228" t="s">
        <v>206</v>
      </c>
    </row>
    <row r="34" spans="1:9" s="19" customFormat="1" ht="25.05" customHeight="1">
      <c r="A34" s="226"/>
      <c r="B34" s="185"/>
      <c r="C34" s="55" t="s">
        <v>181</v>
      </c>
      <c r="D34" s="35">
        <v>45262</v>
      </c>
      <c r="E34" s="54" t="s">
        <v>178</v>
      </c>
      <c r="F34" s="178"/>
      <c r="G34" s="190"/>
      <c r="H34" s="227"/>
      <c r="I34" s="228"/>
    </row>
    <row r="35" spans="1:9" s="19" customFormat="1" ht="25.05" customHeight="1">
      <c r="A35" s="226"/>
      <c r="B35" s="53" t="s">
        <v>182</v>
      </c>
      <c r="C35" s="55" t="s">
        <v>183</v>
      </c>
      <c r="D35" s="35">
        <v>45280</v>
      </c>
      <c r="E35" s="54" t="s">
        <v>178</v>
      </c>
      <c r="F35" s="94">
        <v>476190</v>
      </c>
      <c r="G35" s="61" t="s">
        <v>205</v>
      </c>
      <c r="H35" s="89">
        <v>13384</v>
      </c>
      <c r="I35" s="111" t="s">
        <v>205</v>
      </c>
    </row>
    <row r="36" spans="1:9" s="19" customFormat="1" ht="25.05" customHeight="1" thickBot="1">
      <c r="A36" s="216" t="s">
        <v>204</v>
      </c>
      <c r="B36" s="217"/>
      <c r="C36" s="217"/>
      <c r="D36" s="217"/>
      <c r="E36" s="218"/>
      <c r="F36" s="219">
        <f>SUM(F14:F35)</f>
        <v>10921920</v>
      </c>
      <c r="G36" s="220"/>
      <c r="H36" s="220"/>
      <c r="I36" s="221"/>
    </row>
    <row r="37" spans="1:9" s="19" customFormat="1" ht="25.05" customHeight="1">
      <c r="A37" s="201" t="s">
        <v>217</v>
      </c>
      <c r="B37" s="202"/>
      <c r="C37" s="202"/>
      <c r="D37" s="202"/>
      <c r="E37" s="203"/>
      <c r="F37" s="222">
        <f>F13/2+F36</f>
        <v>11686778.5</v>
      </c>
      <c r="G37" s="223"/>
      <c r="H37" s="223"/>
      <c r="I37" s="224"/>
    </row>
    <row r="38" spans="1:9" s="19" customFormat="1" ht="25.05" customHeight="1">
      <c r="A38" s="201" t="s">
        <v>211</v>
      </c>
      <c r="B38" s="202"/>
      <c r="C38" s="202"/>
      <c r="D38" s="202"/>
      <c r="E38" s="203"/>
      <c r="F38" s="204">
        <v>11000</v>
      </c>
      <c r="G38" s="205"/>
      <c r="H38" s="205"/>
      <c r="I38" s="206"/>
    </row>
    <row r="39" spans="1:9" s="19" customFormat="1" ht="25.05" customHeight="1">
      <c r="A39" s="207" t="s">
        <v>212</v>
      </c>
      <c r="B39" s="208"/>
      <c r="C39" s="208"/>
      <c r="D39" s="208"/>
      <c r="E39" s="209"/>
      <c r="F39" s="21">
        <f>F38</f>
        <v>11000</v>
      </c>
      <c r="G39" s="21">
        <f>SUM(G6:G12,G14:G35)</f>
        <v>19204</v>
      </c>
      <c r="H39" s="21">
        <f>SUM(H6:H12,H14:H35)</f>
        <v>169899.5</v>
      </c>
      <c r="I39" s="112">
        <f>SUM(I6:I12,I14:I35)</f>
        <v>14491</v>
      </c>
    </row>
    <row r="40" spans="1:9" s="19" customFormat="1" ht="25.05" customHeight="1" thickBot="1">
      <c r="A40" s="210" t="s">
        <v>30</v>
      </c>
      <c r="B40" s="211"/>
      <c r="C40" s="211"/>
      <c r="D40" s="211"/>
      <c r="E40" s="212"/>
      <c r="F40" s="213">
        <f>G39+H39+I39+F39</f>
        <v>214594.5</v>
      </c>
      <c r="G40" s="214"/>
      <c r="H40" s="214"/>
      <c r="I40" s="215"/>
    </row>
    <row r="41" spans="1:9" ht="25.0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25.05" customHeight="1">
      <c r="A42" s="90" t="s">
        <v>209</v>
      </c>
    </row>
    <row r="43" spans="1:9" ht="25.05" customHeight="1">
      <c r="A43" s="90" t="s">
        <v>219</v>
      </c>
      <c r="H43" s="5"/>
    </row>
    <row r="44" spans="1:9" ht="22.05" customHeight="1" thickBot="1">
      <c r="A44" s="90" t="s">
        <v>216</v>
      </c>
      <c r="F44" s="4" t="s">
        <v>12</v>
      </c>
      <c r="G44" s="6"/>
      <c r="H44" s="6"/>
      <c r="I44" s="6"/>
    </row>
    <row r="45" spans="1:9" ht="22.05" customHeight="1"/>
    <row r="46" spans="1:9" ht="22.05" customHeight="1"/>
    <row r="47" spans="1:9" ht="22.05" customHeight="1"/>
  </sheetData>
  <mergeCells count="45">
    <mergeCell ref="J10:J12"/>
    <mergeCell ref="B29:B30"/>
    <mergeCell ref="C29:C30"/>
    <mergeCell ref="D29:D30"/>
    <mergeCell ref="E29:E30"/>
    <mergeCell ref="F29:F30"/>
    <mergeCell ref="B21:B22"/>
    <mergeCell ref="D21:D22"/>
    <mergeCell ref="E21:E22"/>
    <mergeCell ref="F21:F22"/>
    <mergeCell ref="A4:I4"/>
    <mergeCell ref="B16:B17"/>
    <mergeCell ref="F16:F17"/>
    <mergeCell ref="B19:B20"/>
    <mergeCell ref="C19:C20"/>
    <mergeCell ref="D19:D20"/>
    <mergeCell ref="E19:E20"/>
    <mergeCell ref="F19:F20"/>
    <mergeCell ref="A13:E13"/>
    <mergeCell ref="F13:I13"/>
    <mergeCell ref="G16:G17"/>
    <mergeCell ref="G19:G20"/>
    <mergeCell ref="I19:I20"/>
    <mergeCell ref="A6:A11"/>
    <mergeCell ref="A36:E36"/>
    <mergeCell ref="F36:I36"/>
    <mergeCell ref="F37:I37"/>
    <mergeCell ref="A37:E37"/>
    <mergeCell ref="B33:B34"/>
    <mergeCell ref="F33:F34"/>
    <mergeCell ref="A14:A35"/>
    <mergeCell ref="H16:H17"/>
    <mergeCell ref="I16:I17"/>
    <mergeCell ref="H19:H20"/>
    <mergeCell ref="G21:G22"/>
    <mergeCell ref="H21:H22"/>
    <mergeCell ref="I21:I22"/>
    <mergeCell ref="G33:G34"/>
    <mergeCell ref="H33:H34"/>
    <mergeCell ref="I33:I34"/>
    <mergeCell ref="A38:E38"/>
    <mergeCell ref="F38:I38"/>
    <mergeCell ref="A39:E39"/>
    <mergeCell ref="A40:E40"/>
    <mergeCell ref="F40:I40"/>
  </mergeCells>
  <phoneticPr fontId="2" type="noConversion"/>
  <pageMargins left="0.23622047244094488" right="0.23622047244094488" top="0.51181102362204722" bottom="0.51181102362204722" header="0" footer="0"/>
  <pageSetup paperSize="9" scale="51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zoomScale="70" zoomScaleNormal="70" workbookViewId="0">
      <pane ySplit="5" topLeftCell="A6" activePane="bottomLeft" state="frozen"/>
      <selection pane="bottomLeft" activeCell="A4" sqref="A4:I4"/>
    </sheetView>
  </sheetViews>
  <sheetFormatPr defaultColWidth="8.88671875" defaultRowHeight="15.6"/>
  <cols>
    <col min="1" max="2" width="15.77734375" style="11" customWidth="1"/>
    <col min="3" max="3" width="65.77734375" style="11" customWidth="1"/>
    <col min="4" max="9" width="15.77734375" style="11" customWidth="1"/>
    <col min="10" max="16384" width="8.88671875" style="11"/>
  </cols>
  <sheetData>
    <row r="1" spans="1:9" s="27" customFormat="1" ht="25.05" customHeight="1">
      <c r="A1" s="29" t="s">
        <v>34</v>
      </c>
      <c r="B1" s="30" t="s">
        <v>35</v>
      </c>
      <c r="C1" s="30" t="s">
        <v>36</v>
      </c>
      <c r="D1" s="30" t="s">
        <v>37</v>
      </c>
      <c r="E1" s="30" t="s">
        <v>38</v>
      </c>
      <c r="F1" s="34" t="s">
        <v>11</v>
      </c>
      <c r="G1" s="23" t="s">
        <v>39</v>
      </c>
      <c r="H1" s="24" t="s">
        <v>40</v>
      </c>
      <c r="I1" s="26" t="s">
        <v>41</v>
      </c>
    </row>
    <row r="2" spans="1:9" ht="25.05" customHeight="1" thickBot="1">
      <c r="A2" s="51" t="s">
        <v>32</v>
      </c>
      <c r="B2" s="46">
        <v>44874</v>
      </c>
      <c r="C2" s="2">
        <v>33000</v>
      </c>
      <c r="D2" s="47">
        <v>52</v>
      </c>
      <c r="E2" s="2">
        <f>C2/365*D2</f>
        <v>4701.3698630136987</v>
      </c>
      <c r="F2" s="2" t="s">
        <v>187</v>
      </c>
      <c r="G2" s="2" t="s">
        <v>187</v>
      </c>
      <c r="H2" s="2" t="s">
        <v>187</v>
      </c>
      <c r="I2" s="3">
        <f>SUM(E2:H2)</f>
        <v>4701.3698630136987</v>
      </c>
    </row>
    <row r="3" spans="1:9" ht="25.05" customHeight="1" thickBot="1">
      <c r="A3" s="9"/>
      <c r="B3" s="9"/>
      <c r="C3" s="9"/>
      <c r="D3" s="10"/>
      <c r="E3" s="9"/>
      <c r="F3" s="10"/>
      <c r="G3" s="10"/>
      <c r="H3" s="8"/>
    </row>
    <row r="4" spans="1:9" ht="25.05" customHeight="1">
      <c r="A4" s="229" t="s">
        <v>233</v>
      </c>
      <c r="B4" s="230"/>
      <c r="C4" s="230"/>
      <c r="D4" s="230"/>
      <c r="E4" s="230"/>
      <c r="F4" s="230"/>
      <c r="G4" s="230"/>
      <c r="H4" s="230"/>
      <c r="I4" s="231"/>
    </row>
    <row r="5" spans="1:9" ht="25.05" customHeight="1" thickBot="1">
      <c r="A5" s="119" t="s">
        <v>17</v>
      </c>
      <c r="B5" s="120" t="s">
        <v>18</v>
      </c>
      <c r="C5" s="120" t="s">
        <v>19</v>
      </c>
      <c r="D5" s="120" t="s">
        <v>20</v>
      </c>
      <c r="E5" s="120" t="s">
        <v>21</v>
      </c>
      <c r="F5" s="120" t="s">
        <v>22</v>
      </c>
      <c r="G5" s="121" t="s">
        <v>195</v>
      </c>
      <c r="H5" s="121" t="s">
        <v>196</v>
      </c>
      <c r="I5" s="122" t="s">
        <v>42</v>
      </c>
    </row>
    <row r="6" spans="1:9" ht="25.05" customHeight="1">
      <c r="A6" s="253" t="s">
        <v>191</v>
      </c>
      <c r="B6" s="96" t="s">
        <v>188</v>
      </c>
      <c r="C6" s="97" t="s">
        <v>189</v>
      </c>
      <c r="D6" s="98" t="s">
        <v>190</v>
      </c>
      <c r="E6" s="98" t="s">
        <v>118</v>
      </c>
      <c r="F6" s="99">
        <v>904762</v>
      </c>
      <c r="G6" s="100">
        <v>-310</v>
      </c>
      <c r="H6" s="101">
        <v>-495</v>
      </c>
      <c r="I6" s="102">
        <v>-619</v>
      </c>
    </row>
    <row r="7" spans="1:9" ht="25.05" customHeight="1" thickBot="1">
      <c r="A7" s="254"/>
      <c r="B7" s="103" t="s">
        <v>184</v>
      </c>
      <c r="C7" s="104" t="s">
        <v>185</v>
      </c>
      <c r="D7" s="105" t="s">
        <v>186</v>
      </c>
      <c r="E7" s="105" t="s">
        <v>64</v>
      </c>
      <c r="F7" s="106">
        <v>571429</v>
      </c>
      <c r="G7" s="107">
        <v>8548</v>
      </c>
      <c r="H7" s="108">
        <v>13677</v>
      </c>
      <c r="I7" s="109">
        <v>17096</v>
      </c>
    </row>
    <row r="8" spans="1:9" ht="25.05" customHeight="1">
      <c r="A8" s="247" t="s">
        <v>192</v>
      </c>
      <c r="B8" s="248"/>
      <c r="C8" s="248"/>
      <c r="D8" s="248"/>
      <c r="E8" s="248"/>
      <c r="F8" s="248"/>
      <c r="G8" s="95">
        <f>SUM(G6:G7)</f>
        <v>8238</v>
      </c>
      <c r="H8" s="95">
        <f>SUM(H6:H7)</f>
        <v>13182</v>
      </c>
      <c r="I8" s="115">
        <f>SUM(I6:I7)</f>
        <v>16477</v>
      </c>
    </row>
    <row r="9" spans="1:9" ht="25.05" customHeight="1" thickBot="1">
      <c r="A9" s="249" t="s">
        <v>30</v>
      </c>
      <c r="B9" s="250"/>
      <c r="C9" s="250"/>
      <c r="D9" s="250"/>
      <c r="E9" s="250"/>
      <c r="F9" s="250"/>
      <c r="G9" s="251" t="s">
        <v>187</v>
      </c>
      <c r="H9" s="251"/>
      <c r="I9" s="252"/>
    </row>
    <row r="10" spans="1:9" ht="25.05" customHeight="1">
      <c r="A10" s="90"/>
      <c r="B10" s="9"/>
      <c r="C10" s="9"/>
      <c r="D10" s="10"/>
      <c r="E10" s="9"/>
      <c r="F10" s="10"/>
      <c r="G10" s="10"/>
      <c r="H10" s="8"/>
    </row>
    <row r="11" spans="1:9" ht="25.05" customHeight="1">
      <c r="A11" s="90" t="s">
        <v>193</v>
      </c>
      <c r="B11" s="9"/>
      <c r="C11" s="9"/>
      <c r="D11" s="10"/>
      <c r="E11" s="9"/>
      <c r="F11" s="10"/>
      <c r="G11" s="10"/>
      <c r="H11" s="8"/>
    </row>
    <row r="12" spans="1:9" ht="25.05" customHeight="1">
      <c r="A12" s="90" t="s">
        <v>219</v>
      </c>
      <c r="B12" s="9"/>
      <c r="C12" s="9"/>
      <c r="D12" s="10"/>
      <c r="E12" s="9"/>
      <c r="F12" s="10"/>
      <c r="G12" s="10"/>
      <c r="H12" s="8"/>
    </row>
    <row r="13" spans="1:9" ht="25.05" customHeight="1" thickBot="1">
      <c r="A13" s="90" t="s">
        <v>216</v>
      </c>
      <c r="B13" s="9"/>
      <c r="C13" s="9"/>
      <c r="D13" s="10"/>
      <c r="E13" s="9"/>
      <c r="F13" s="4" t="s">
        <v>12</v>
      </c>
      <c r="G13" s="6"/>
      <c r="H13" s="6"/>
      <c r="I13" s="6"/>
    </row>
    <row r="14" spans="1:9" ht="25.05" customHeight="1">
      <c r="A14" s="9"/>
      <c r="B14" s="9"/>
      <c r="C14" s="9"/>
      <c r="D14" s="10"/>
      <c r="E14" s="9"/>
      <c r="F14" s="10"/>
      <c r="G14" s="10"/>
      <c r="H14" s="8"/>
    </row>
    <row r="15" spans="1:9" ht="25.05" customHeight="1">
      <c r="A15" s="9"/>
      <c r="B15" s="9"/>
      <c r="C15" s="9"/>
      <c r="D15" s="10"/>
      <c r="E15" s="9"/>
    </row>
    <row r="16" spans="1:9">
      <c r="A16" s="9"/>
      <c r="B16" s="9"/>
      <c r="C16" s="9"/>
      <c r="D16" s="10"/>
      <c r="E16" s="9"/>
      <c r="F16" s="10"/>
      <c r="G16" s="10"/>
      <c r="H16" s="8"/>
    </row>
    <row r="17" spans="1:8">
      <c r="A17" s="9"/>
      <c r="B17" s="9"/>
      <c r="C17" s="9"/>
      <c r="D17" s="10"/>
      <c r="E17" s="9"/>
      <c r="F17" s="10"/>
      <c r="G17" s="10"/>
      <c r="H17" s="8"/>
    </row>
    <row r="18" spans="1:8">
      <c r="A18" s="9"/>
      <c r="B18" s="9"/>
      <c r="C18" s="9"/>
      <c r="D18" s="10"/>
      <c r="E18" s="9"/>
      <c r="F18" s="10"/>
      <c r="G18" s="10"/>
      <c r="H18" s="8"/>
    </row>
    <row r="19" spans="1:8">
      <c r="A19" s="9"/>
      <c r="B19" s="9"/>
      <c r="C19" s="9"/>
      <c r="D19" s="10"/>
      <c r="E19" s="9"/>
      <c r="F19" s="10"/>
      <c r="G19" s="10"/>
      <c r="H19" s="8"/>
    </row>
    <row r="20" spans="1:8">
      <c r="A20" s="9"/>
      <c r="B20" s="9"/>
      <c r="C20" s="9"/>
      <c r="D20" s="10"/>
      <c r="E20" s="9"/>
      <c r="F20" s="10"/>
      <c r="G20" s="10"/>
      <c r="H20" s="8"/>
    </row>
    <row r="21" spans="1:8">
      <c r="A21" s="9"/>
      <c r="B21" s="9"/>
      <c r="C21" s="9"/>
      <c r="D21" s="10"/>
      <c r="E21" s="9"/>
      <c r="F21" s="10"/>
      <c r="G21" s="10"/>
      <c r="H21" s="8"/>
    </row>
    <row r="22" spans="1:8">
      <c r="A22" s="9"/>
      <c r="B22" s="9"/>
      <c r="C22" s="9"/>
      <c r="D22" s="10"/>
      <c r="E22" s="9"/>
      <c r="F22" s="10"/>
      <c r="G22" s="10"/>
      <c r="H22" s="8"/>
    </row>
    <row r="23" spans="1:8">
      <c r="A23" s="9"/>
      <c r="B23" s="9"/>
      <c r="C23" s="9"/>
      <c r="D23" s="10"/>
      <c r="E23" s="9"/>
      <c r="F23" s="10"/>
      <c r="G23" s="10"/>
      <c r="H23" s="8"/>
    </row>
    <row r="24" spans="1:8">
      <c r="A24" s="9"/>
      <c r="B24" s="9"/>
      <c r="C24" s="9"/>
      <c r="D24" s="10"/>
      <c r="E24" s="9"/>
      <c r="F24" s="10"/>
      <c r="G24" s="10"/>
      <c r="H24" s="8"/>
    </row>
    <row r="25" spans="1:8">
      <c r="A25" s="9"/>
      <c r="B25" s="9"/>
      <c r="C25" s="9"/>
      <c r="D25" s="10"/>
      <c r="E25" s="9"/>
      <c r="F25" s="10"/>
      <c r="G25" s="10"/>
      <c r="H25" s="8"/>
    </row>
    <row r="26" spans="1:8">
      <c r="A26" s="9"/>
      <c r="B26" s="9"/>
      <c r="C26" s="9"/>
      <c r="D26" s="10"/>
      <c r="E26" s="9"/>
      <c r="F26" s="10"/>
      <c r="G26" s="10"/>
      <c r="H26" s="8"/>
    </row>
    <row r="27" spans="1:8">
      <c r="A27" s="9"/>
      <c r="B27" s="9"/>
      <c r="C27" s="9"/>
      <c r="D27" s="9"/>
      <c r="E27" s="10"/>
      <c r="F27" s="10"/>
      <c r="G27" s="8"/>
    </row>
    <row r="28" spans="1:8">
      <c r="A28" s="9"/>
      <c r="B28" s="9"/>
      <c r="C28" s="9"/>
      <c r="D28" s="9"/>
      <c r="E28" s="10"/>
      <c r="F28" s="10"/>
      <c r="G28" s="8"/>
    </row>
    <row r="29" spans="1:8">
      <c r="A29" s="9"/>
      <c r="B29" s="9"/>
      <c r="C29" s="9"/>
      <c r="D29" s="9"/>
      <c r="E29" s="10"/>
      <c r="F29" s="10"/>
      <c r="G29" s="8"/>
    </row>
    <row r="30" spans="1:8">
      <c r="A30" s="9"/>
      <c r="B30" s="9"/>
      <c r="C30" s="9"/>
      <c r="D30" s="9"/>
      <c r="E30" s="10"/>
      <c r="F30" s="10"/>
      <c r="G30" s="8"/>
    </row>
    <row r="31" spans="1:8">
      <c r="A31" s="9"/>
      <c r="B31" s="9"/>
      <c r="C31" s="9"/>
      <c r="D31" s="9"/>
      <c r="E31" s="10"/>
      <c r="F31" s="10"/>
      <c r="G31" s="8"/>
    </row>
    <row r="32" spans="1:8">
      <c r="A32" s="9"/>
      <c r="B32" s="9"/>
      <c r="C32" s="9"/>
      <c r="D32" s="9"/>
      <c r="E32" s="10"/>
      <c r="F32" s="10"/>
      <c r="G32" s="8"/>
    </row>
    <row r="33" spans="1:7">
      <c r="A33" s="9"/>
      <c r="B33" s="9"/>
      <c r="C33" s="9"/>
      <c r="D33" s="9"/>
      <c r="E33" s="10"/>
      <c r="F33" s="10"/>
      <c r="G33" s="8"/>
    </row>
    <row r="34" spans="1:7">
      <c r="A34" s="9"/>
      <c r="B34" s="9"/>
      <c r="C34" s="9"/>
      <c r="D34" s="9"/>
      <c r="E34" s="10"/>
      <c r="F34" s="10"/>
      <c r="G34" s="8"/>
    </row>
    <row r="35" spans="1:7">
      <c r="A35" s="9"/>
      <c r="B35" s="9"/>
      <c r="C35" s="9"/>
      <c r="D35" s="9"/>
      <c r="E35" s="10"/>
      <c r="F35" s="10"/>
      <c r="G35" s="8"/>
    </row>
    <row r="36" spans="1:7">
      <c r="D36" s="9"/>
      <c r="E36" s="10"/>
      <c r="F36" s="10"/>
      <c r="G36" s="8"/>
    </row>
    <row r="37" spans="1:7">
      <c r="D37" s="9"/>
      <c r="E37" s="10"/>
      <c r="F37" s="10"/>
      <c r="G37" s="8"/>
    </row>
    <row r="38" spans="1:7">
      <c r="D38" s="9"/>
      <c r="E38" s="10"/>
      <c r="F38" s="10"/>
      <c r="G38" s="8"/>
    </row>
    <row r="39" spans="1:7">
      <c r="D39" s="9"/>
      <c r="E39" s="10"/>
      <c r="F39" s="10"/>
      <c r="G39" s="8"/>
    </row>
    <row r="40" spans="1:7">
      <c r="D40" s="9"/>
      <c r="E40" s="10"/>
      <c r="F40" s="10"/>
      <c r="G40" s="8"/>
    </row>
    <row r="41" spans="1:7">
      <c r="D41" s="9"/>
      <c r="E41" s="10"/>
      <c r="F41" s="10"/>
      <c r="G41" s="8"/>
    </row>
    <row r="42" spans="1:7">
      <c r="D42" s="9"/>
      <c r="E42" s="10"/>
      <c r="F42" s="10"/>
      <c r="G42" s="8"/>
    </row>
    <row r="43" spans="1:7">
      <c r="D43" s="9"/>
      <c r="E43" s="10"/>
      <c r="F43" s="10"/>
      <c r="G43" s="8"/>
    </row>
    <row r="44" spans="1:7">
      <c r="D44" s="9"/>
      <c r="E44" s="10"/>
      <c r="F44" s="10"/>
      <c r="G44" s="8"/>
    </row>
    <row r="45" spans="1:7">
      <c r="D45" s="9"/>
      <c r="E45" s="10"/>
      <c r="F45" s="10"/>
      <c r="G45" s="8"/>
    </row>
    <row r="46" spans="1:7">
      <c r="D46" s="9"/>
      <c r="E46" s="10"/>
      <c r="F46" s="10"/>
      <c r="G46" s="8"/>
    </row>
    <row r="47" spans="1:7">
      <c r="D47" s="9"/>
      <c r="E47" s="10"/>
      <c r="F47" s="10"/>
      <c r="G47" s="8"/>
    </row>
  </sheetData>
  <mergeCells count="5">
    <mergeCell ref="A4:I4"/>
    <mergeCell ref="A8:F8"/>
    <mergeCell ref="A9:F9"/>
    <mergeCell ref="G9:I9"/>
    <mergeCell ref="A6:A7"/>
  </mergeCells>
  <phoneticPr fontId="2" type="noConversion"/>
  <pageMargins left="0.23622047244094488" right="0.23622047244094488" top="0.51181102362204722" bottom="0.51181102362204722" header="0" footer="0"/>
  <pageSetup paperSize="9" scale="5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73"/>
  <sheetViews>
    <sheetView zoomScale="70" zoomScaleNormal="70" workbookViewId="0">
      <pane ySplit="5" topLeftCell="A49" activePane="bottomLeft" state="frozen"/>
      <selection pane="bottomLeft" activeCell="A4" sqref="A4:H4"/>
    </sheetView>
  </sheetViews>
  <sheetFormatPr defaultColWidth="8.88671875" defaultRowHeight="15.6"/>
  <cols>
    <col min="1" max="2" width="15.77734375" style="11" customWidth="1"/>
    <col min="3" max="3" width="65.77734375" style="11" customWidth="1"/>
    <col min="4" max="9" width="15.77734375" style="11" customWidth="1"/>
    <col min="10" max="16384" width="8.88671875" style="11"/>
  </cols>
  <sheetData>
    <row r="1" spans="1:8" s="27" customFormat="1" ht="25.05" customHeight="1">
      <c r="A1" s="31" t="s">
        <v>5</v>
      </c>
      <c r="B1" s="34" t="s">
        <v>35</v>
      </c>
      <c r="C1" s="34" t="s">
        <v>10</v>
      </c>
      <c r="D1" s="34" t="s">
        <v>9</v>
      </c>
      <c r="E1" s="34" t="s">
        <v>24</v>
      </c>
      <c r="F1" s="34" t="s">
        <v>11</v>
      </c>
      <c r="G1" s="12" t="s">
        <v>43</v>
      </c>
      <c r="H1" s="25" t="s">
        <v>7</v>
      </c>
    </row>
    <row r="2" spans="1:8" ht="25.05" customHeight="1" thickBot="1">
      <c r="A2" s="48" t="s">
        <v>3</v>
      </c>
      <c r="B2" s="46">
        <v>43822</v>
      </c>
      <c r="C2" s="2">
        <v>36000</v>
      </c>
      <c r="D2" s="47">
        <v>1104</v>
      </c>
      <c r="E2" s="2">
        <v>36000</v>
      </c>
      <c r="F2" s="2">
        <f>108333-E2</f>
        <v>72333</v>
      </c>
      <c r="G2" s="2">
        <v>0</v>
      </c>
      <c r="H2" s="3">
        <f>SUM(E2:G2)</f>
        <v>108333</v>
      </c>
    </row>
    <row r="3" spans="1:8" ht="25.05" customHeight="1" thickBot="1">
      <c r="A3" s="9"/>
      <c r="B3" s="9"/>
      <c r="C3" s="9"/>
      <c r="D3" s="10"/>
      <c r="E3" s="9"/>
      <c r="F3" s="10"/>
      <c r="G3" s="10"/>
      <c r="H3" s="8"/>
    </row>
    <row r="4" spans="1:8" ht="25.05" customHeight="1">
      <c r="A4" s="229" t="s">
        <v>233</v>
      </c>
      <c r="B4" s="230"/>
      <c r="C4" s="230"/>
      <c r="D4" s="230"/>
      <c r="E4" s="230"/>
      <c r="F4" s="230"/>
      <c r="G4" s="230"/>
      <c r="H4" s="231"/>
    </row>
    <row r="5" spans="1:8" ht="25.05" customHeight="1" thickBot="1">
      <c r="A5" s="113" t="s">
        <v>17</v>
      </c>
      <c r="B5" s="56" t="s">
        <v>18</v>
      </c>
      <c r="C5" s="56" t="s">
        <v>19</v>
      </c>
      <c r="D5" s="56" t="s">
        <v>20</v>
      </c>
      <c r="E5" s="56" t="s">
        <v>213</v>
      </c>
      <c r="F5" s="56" t="s">
        <v>22</v>
      </c>
      <c r="G5" s="60" t="s">
        <v>194</v>
      </c>
      <c r="H5" s="114" t="s">
        <v>23</v>
      </c>
    </row>
    <row r="6" spans="1:8" s="20" customFormat="1" ht="25.05" customHeight="1">
      <c r="A6" s="276" t="s">
        <v>58</v>
      </c>
      <c r="B6" s="64" t="s">
        <v>59</v>
      </c>
      <c r="C6" s="65" t="s">
        <v>60</v>
      </c>
      <c r="D6" s="66">
        <v>44950</v>
      </c>
      <c r="E6" s="67" t="s">
        <v>47</v>
      </c>
      <c r="F6" s="68">
        <v>3278</v>
      </c>
      <c r="G6" s="69">
        <v>21</v>
      </c>
      <c r="H6" s="70" t="s">
        <v>187</v>
      </c>
    </row>
    <row r="7" spans="1:8" s="20" customFormat="1" ht="25.05" customHeight="1">
      <c r="A7" s="277"/>
      <c r="B7" s="275" t="s">
        <v>61</v>
      </c>
      <c r="C7" s="71" t="s">
        <v>62</v>
      </c>
      <c r="D7" s="179" t="s">
        <v>63</v>
      </c>
      <c r="E7" s="179" t="s">
        <v>64</v>
      </c>
      <c r="F7" s="232">
        <v>952381</v>
      </c>
      <c r="G7" s="267">
        <v>4098</v>
      </c>
      <c r="H7" s="268" t="s">
        <v>187</v>
      </c>
    </row>
    <row r="8" spans="1:8" s="20" customFormat="1" ht="25.05" customHeight="1">
      <c r="A8" s="277"/>
      <c r="B8" s="275"/>
      <c r="C8" s="71" t="s">
        <v>65</v>
      </c>
      <c r="D8" s="179"/>
      <c r="E8" s="179"/>
      <c r="F8" s="232"/>
      <c r="G8" s="267"/>
      <c r="H8" s="268"/>
    </row>
    <row r="9" spans="1:8" s="20" customFormat="1" ht="25.05" customHeight="1">
      <c r="A9" s="277"/>
      <c r="B9" s="275"/>
      <c r="C9" s="71" t="s">
        <v>66</v>
      </c>
      <c r="D9" s="179"/>
      <c r="E9" s="179"/>
      <c r="F9" s="232"/>
      <c r="G9" s="267"/>
      <c r="H9" s="268"/>
    </row>
    <row r="10" spans="1:8" s="20" customFormat="1" ht="25.05" customHeight="1">
      <c r="A10" s="277"/>
      <c r="B10" s="129" t="s">
        <v>67</v>
      </c>
      <c r="C10" s="71" t="s">
        <v>68</v>
      </c>
      <c r="D10" s="130">
        <v>44985</v>
      </c>
      <c r="E10" s="127" t="s">
        <v>69</v>
      </c>
      <c r="F10" s="126">
        <v>571429</v>
      </c>
      <c r="G10" s="133">
        <v>5050</v>
      </c>
      <c r="H10" s="132" t="s">
        <v>187</v>
      </c>
    </row>
    <row r="11" spans="1:8" s="20" customFormat="1" ht="25.05" customHeight="1">
      <c r="A11" s="277"/>
      <c r="B11" s="129" t="s">
        <v>70</v>
      </c>
      <c r="C11" s="71" t="s">
        <v>71</v>
      </c>
      <c r="D11" s="127" t="s">
        <v>72</v>
      </c>
      <c r="E11" s="127" t="s">
        <v>69</v>
      </c>
      <c r="F11" s="126">
        <v>169524</v>
      </c>
      <c r="G11" s="72">
        <v>709</v>
      </c>
      <c r="H11" s="132" t="s">
        <v>187</v>
      </c>
    </row>
    <row r="12" spans="1:8" s="20" customFormat="1" ht="25.05" customHeight="1">
      <c r="A12" s="277"/>
      <c r="B12" s="129" t="s">
        <v>73</v>
      </c>
      <c r="C12" s="71" t="s">
        <v>74</v>
      </c>
      <c r="D12" s="127" t="s">
        <v>75</v>
      </c>
      <c r="E12" s="127" t="s">
        <v>76</v>
      </c>
      <c r="F12" s="126">
        <v>181160</v>
      </c>
      <c r="G12" s="133">
        <v>1296</v>
      </c>
      <c r="H12" s="132" t="s">
        <v>187</v>
      </c>
    </row>
    <row r="13" spans="1:8" s="20" customFormat="1" ht="25.05" customHeight="1">
      <c r="A13" s="277"/>
      <c r="B13" s="129" t="s">
        <v>77</v>
      </c>
      <c r="C13" s="73" t="s">
        <v>78</v>
      </c>
      <c r="D13" s="73" t="s">
        <v>75</v>
      </c>
      <c r="E13" s="73" t="s">
        <v>47</v>
      </c>
      <c r="F13" s="74">
        <v>171429</v>
      </c>
      <c r="G13" s="133">
        <v>1462</v>
      </c>
      <c r="H13" s="132" t="s">
        <v>187</v>
      </c>
    </row>
    <row r="14" spans="1:8" s="20" customFormat="1" ht="25.05" customHeight="1">
      <c r="A14" s="277"/>
      <c r="B14" s="129" t="s">
        <v>79</v>
      </c>
      <c r="C14" s="71" t="s">
        <v>80</v>
      </c>
      <c r="D14" s="127" t="s">
        <v>75</v>
      </c>
      <c r="E14" s="127" t="s">
        <v>47</v>
      </c>
      <c r="F14" s="126">
        <v>1000</v>
      </c>
      <c r="G14" s="72" t="s">
        <v>187</v>
      </c>
      <c r="H14" s="132">
        <v>38</v>
      </c>
    </row>
    <row r="15" spans="1:8" s="20" customFormat="1" ht="25.05" customHeight="1">
      <c r="A15" s="277"/>
      <c r="B15" s="129" t="s">
        <v>81</v>
      </c>
      <c r="C15" s="71" t="s">
        <v>82</v>
      </c>
      <c r="D15" s="127" t="s">
        <v>75</v>
      </c>
      <c r="E15" s="127" t="s">
        <v>47</v>
      </c>
      <c r="F15" s="127">
        <v>550</v>
      </c>
      <c r="G15" s="72" t="s">
        <v>187</v>
      </c>
      <c r="H15" s="132">
        <v>21</v>
      </c>
    </row>
    <row r="16" spans="1:8" s="20" customFormat="1" ht="25.05" customHeight="1">
      <c r="A16" s="277"/>
      <c r="B16" s="129" t="s">
        <v>83</v>
      </c>
      <c r="C16" s="71" t="s">
        <v>84</v>
      </c>
      <c r="D16" s="127" t="s">
        <v>85</v>
      </c>
      <c r="E16" s="127" t="s">
        <v>86</v>
      </c>
      <c r="F16" s="126">
        <v>294479</v>
      </c>
      <c r="G16" s="133">
        <v>1493</v>
      </c>
      <c r="H16" s="132" t="s">
        <v>187</v>
      </c>
    </row>
    <row r="17" spans="1:8" s="20" customFormat="1" ht="25.05" customHeight="1">
      <c r="A17" s="277"/>
      <c r="B17" s="129" t="s">
        <v>87</v>
      </c>
      <c r="C17" s="71" t="s">
        <v>88</v>
      </c>
      <c r="D17" s="130">
        <v>45025</v>
      </c>
      <c r="E17" s="127" t="s">
        <v>89</v>
      </c>
      <c r="F17" s="126">
        <v>335808</v>
      </c>
      <c r="G17" s="133">
        <v>2947</v>
      </c>
      <c r="H17" s="132" t="s">
        <v>187</v>
      </c>
    </row>
    <row r="18" spans="1:8" s="20" customFormat="1" ht="25.05" customHeight="1">
      <c r="A18" s="277"/>
      <c r="B18" s="129" t="s">
        <v>90</v>
      </c>
      <c r="C18" s="71" t="s">
        <v>91</v>
      </c>
      <c r="D18" s="130">
        <v>45037</v>
      </c>
      <c r="E18" s="127" t="s">
        <v>47</v>
      </c>
      <c r="F18" s="126">
        <v>19953</v>
      </c>
      <c r="G18" s="72">
        <v>316</v>
      </c>
      <c r="H18" s="132" t="s">
        <v>187</v>
      </c>
    </row>
    <row r="19" spans="1:8" s="20" customFormat="1" ht="25.05" customHeight="1">
      <c r="A19" s="277"/>
      <c r="B19" s="129" t="s">
        <v>92</v>
      </c>
      <c r="C19" s="71" t="s">
        <v>93</v>
      </c>
      <c r="D19" s="130">
        <v>45067</v>
      </c>
      <c r="E19" s="127" t="s">
        <v>86</v>
      </c>
      <c r="F19" s="126">
        <v>68770</v>
      </c>
      <c r="G19" s="72">
        <v>412</v>
      </c>
      <c r="H19" s="132" t="s">
        <v>187</v>
      </c>
    </row>
    <row r="20" spans="1:8" s="20" customFormat="1" ht="25.05" customHeight="1">
      <c r="A20" s="277"/>
      <c r="B20" s="129" t="s">
        <v>94</v>
      </c>
      <c r="C20" s="71" t="s">
        <v>95</v>
      </c>
      <c r="D20" s="130">
        <v>45086</v>
      </c>
      <c r="E20" s="127" t="s">
        <v>64</v>
      </c>
      <c r="F20" s="126">
        <v>61905</v>
      </c>
      <c r="G20" s="72">
        <v>597</v>
      </c>
      <c r="H20" s="132" t="s">
        <v>187</v>
      </c>
    </row>
    <row r="21" spans="1:8" s="20" customFormat="1" ht="25.05" customHeight="1">
      <c r="A21" s="277"/>
      <c r="B21" s="129" t="s">
        <v>96</v>
      </c>
      <c r="C21" s="71" t="s">
        <v>97</v>
      </c>
      <c r="D21" s="127" t="s">
        <v>98</v>
      </c>
      <c r="E21" s="127" t="s">
        <v>86</v>
      </c>
      <c r="F21" s="126">
        <v>37663</v>
      </c>
      <c r="G21" s="72">
        <v>249</v>
      </c>
      <c r="H21" s="132" t="s">
        <v>187</v>
      </c>
    </row>
    <row r="22" spans="1:8" s="20" customFormat="1" ht="25.05" customHeight="1">
      <c r="A22" s="277"/>
      <c r="B22" s="129" t="s">
        <v>99</v>
      </c>
      <c r="C22" s="71" t="s">
        <v>100</v>
      </c>
      <c r="D22" s="127" t="s">
        <v>101</v>
      </c>
      <c r="E22" s="127" t="s">
        <v>86</v>
      </c>
      <c r="F22" s="126">
        <v>34903</v>
      </c>
      <c r="G22" s="72">
        <v>224</v>
      </c>
      <c r="H22" s="132" t="s">
        <v>187</v>
      </c>
    </row>
    <row r="23" spans="1:8" s="20" customFormat="1" ht="25.05" customHeight="1">
      <c r="A23" s="277"/>
      <c r="B23" s="129" t="s">
        <v>102</v>
      </c>
      <c r="C23" s="71" t="s">
        <v>103</v>
      </c>
      <c r="D23" s="130">
        <v>45105</v>
      </c>
      <c r="E23" s="127" t="s">
        <v>47</v>
      </c>
      <c r="F23" s="126">
        <v>6050</v>
      </c>
      <c r="G23" s="72" t="s">
        <v>187</v>
      </c>
      <c r="H23" s="132">
        <v>227</v>
      </c>
    </row>
    <row r="24" spans="1:8" s="20" customFormat="1" ht="25.05" customHeight="1">
      <c r="A24" s="277"/>
      <c r="B24" s="129" t="s">
        <v>104</v>
      </c>
      <c r="C24" s="71" t="s">
        <v>105</v>
      </c>
      <c r="D24" s="130">
        <v>45123</v>
      </c>
      <c r="E24" s="127" t="s">
        <v>86</v>
      </c>
      <c r="F24" s="126">
        <v>26393</v>
      </c>
      <c r="G24" s="72">
        <v>179</v>
      </c>
      <c r="H24" s="132" t="s">
        <v>187</v>
      </c>
    </row>
    <row r="25" spans="1:8" s="20" customFormat="1" ht="25.05" customHeight="1">
      <c r="A25" s="277"/>
      <c r="B25" s="129" t="s">
        <v>106</v>
      </c>
      <c r="C25" s="71" t="s">
        <v>107</v>
      </c>
      <c r="D25" s="130">
        <v>45130</v>
      </c>
      <c r="E25" s="127" t="s">
        <v>86</v>
      </c>
      <c r="F25" s="126">
        <v>235000</v>
      </c>
      <c r="G25" s="133">
        <v>4110</v>
      </c>
      <c r="H25" s="132" t="s">
        <v>187</v>
      </c>
    </row>
    <row r="26" spans="1:8" s="20" customFormat="1" ht="25.05" customHeight="1">
      <c r="A26" s="277"/>
      <c r="B26" s="129" t="s">
        <v>108</v>
      </c>
      <c r="C26" s="71" t="s">
        <v>109</v>
      </c>
      <c r="D26" s="130">
        <v>45118</v>
      </c>
      <c r="E26" s="127" t="s">
        <v>110</v>
      </c>
      <c r="F26" s="126">
        <v>120000</v>
      </c>
      <c r="G26" s="72" t="s">
        <v>187</v>
      </c>
      <c r="H26" s="75">
        <v>2537</v>
      </c>
    </row>
    <row r="27" spans="1:8" s="20" customFormat="1" ht="25.05" customHeight="1">
      <c r="A27" s="277"/>
      <c r="B27" s="129" t="s">
        <v>111</v>
      </c>
      <c r="C27" s="71" t="s">
        <v>112</v>
      </c>
      <c r="D27" s="130">
        <v>45127</v>
      </c>
      <c r="E27" s="127" t="s">
        <v>86</v>
      </c>
      <c r="F27" s="126">
        <v>30774</v>
      </c>
      <c r="G27" s="72">
        <v>244</v>
      </c>
      <c r="H27" s="132" t="s">
        <v>187</v>
      </c>
    </row>
    <row r="28" spans="1:8" s="20" customFormat="1" ht="25.05" customHeight="1">
      <c r="A28" s="277"/>
      <c r="B28" s="129" t="s">
        <v>113</v>
      </c>
      <c r="C28" s="71" t="s">
        <v>114</v>
      </c>
      <c r="D28" s="130">
        <v>45135</v>
      </c>
      <c r="E28" s="127" t="s">
        <v>115</v>
      </c>
      <c r="F28" s="126">
        <v>125000</v>
      </c>
      <c r="G28" s="72" t="s">
        <v>187</v>
      </c>
      <c r="H28" s="132" t="s">
        <v>187</v>
      </c>
    </row>
    <row r="29" spans="1:8" s="20" customFormat="1" ht="25.05" customHeight="1">
      <c r="A29" s="277"/>
      <c r="B29" s="129" t="s">
        <v>116</v>
      </c>
      <c r="C29" s="71" t="s">
        <v>117</v>
      </c>
      <c r="D29" s="130">
        <v>45135</v>
      </c>
      <c r="E29" s="127" t="s">
        <v>118</v>
      </c>
      <c r="F29" s="126">
        <v>140000</v>
      </c>
      <c r="G29" s="133">
        <v>1148</v>
      </c>
      <c r="H29" s="132" t="s">
        <v>187</v>
      </c>
    </row>
    <row r="30" spans="1:8" s="20" customFormat="1" ht="25.05" customHeight="1">
      <c r="A30" s="277"/>
      <c r="B30" s="129" t="s">
        <v>119</v>
      </c>
      <c r="C30" s="71" t="s">
        <v>120</v>
      </c>
      <c r="D30" s="130">
        <v>45136</v>
      </c>
      <c r="E30" s="127" t="s">
        <v>121</v>
      </c>
      <c r="F30" s="126">
        <v>6160</v>
      </c>
      <c r="G30" s="72" t="s">
        <v>187</v>
      </c>
      <c r="H30" s="132">
        <v>91</v>
      </c>
    </row>
    <row r="31" spans="1:8" s="20" customFormat="1" ht="25.05" customHeight="1">
      <c r="A31" s="277"/>
      <c r="B31" s="129" t="s">
        <v>122</v>
      </c>
      <c r="C31" s="71" t="s">
        <v>123</v>
      </c>
      <c r="D31" s="127" t="s">
        <v>124</v>
      </c>
      <c r="E31" s="127" t="s">
        <v>47</v>
      </c>
      <c r="F31" s="126">
        <v>21103</v>
      </c>
      <c r="G31" s="72">
        <v>314</v>
      </c>
      <c r="H31" s="132" t="s">
        <v>187</v>
      </c>
    </row>
    <row r="32" spans="1:8" s="20" customFormat="1" ht="25.05" customHeight="1">
      <c r="A32" s="277"/>
      <c r="B32" s="129" t="s">
        <v>125</v>
      </c>
      <c r="C32" s="71" t="s">
        <v>126</v>
      </c>
      <c r="D32" s="130">
        <v>45151</v>
      </c>
      <c r="E32" s="127" t="s">
        <v>86</v>
      </c>
      <c r="F32" s="126">
        <v>150944</v>
      </c>
      <c r="G32" s="72">
        <v>879</v>
      </c>
      <c r="H32" s="132" t="s">
        <v>187</v>
      </c>
    </row>
    <row r="33" spans="1:8" s="20" customFormat="1" ht="25.05" customHeight="1">
      <c r="A33" s="277"/>
      <c r="B33" s="129" t="s">
        <v>127</v>
      </c>
      <c r="C33" s="71" t="s">
        <v>128</v>
      </c>
      <c r="D33" s="130">
        <v>45155</v>
      </c>
      <c r="E33" s="127" t="s">
        <v>64</v>
      </c>
      <c r="F33" s="126">
        <v>142857</v>
      </c>
      <c r="G33" s="133">
        <v>1504</v>
      </c>
      <c r="H33" s="132" t="s">
        <v>187</v>
      </c>
    </row>
    <row r="34" spans="1:8" s="20" customFormat="1" ht="25.05" customHeight="1">
      <c r="A34" s="277"/>
      <c r="B34" s="129" t="s">
        <v>129</v>
      </c>
      <c r="C34" s="71" t="s">
        <v>130</v>
      </c>
      <c r="D34" s="130">
        <v>45182</v>
      </c>
      <c r="E34" s="127" t="s">
        <v>0</v>
      </c>
      <c r="F34" s="127">
        <v>660</v>
      </c>
      <c r="G34" s="72" t="s">
        <v>187</v>
      </c>
      <c r="H34" s="132">
        <v>25</v>
      </c>
    </row>
    <row r="35" spans="1:8" s="20" customFormat="1" ht="25.05" customHeight="1">
      <c r="A35" s="277"/>
      <c r="B35" s="129" t="s">
        <v>131</v>
      </c>
      <c r="C35" s="71" t="s">
        <v>132</v>
      </c>
      <c r="D35" s="130">
        <v>45214</v>
      </c>
      <c r="E35" s="127" t="s">
        <v>47</v>
      </c>
      <c r="F35" s="126">
        <v>4025</v>
      </c>
      <c r="G35" s="72" t="s">
        <v>187</v>
      </c>
      <c r="H35" s="132">
        <v>76</v>
      </c>
    </row>
    <row r="36" spans="1:8" s="20" customFormat="1" ht="25.05" customHeight="1">
      <c r="A36" s="277"/>
      <c r="B36" s="129" t="s">
        <v>133</v>
      </c>
      <c r="C36" s="71" t="s">
        <v>134</v>
      </c>
      <c r="D36" s="130">
        <v>45200</v>
      </c>
      <c r="E36" s="127" t="s">
        <v>86</v>
      </c>
      <c r="F36" s="126">
        <v>9833</v>
      </c>
      <c r="G36" s="72">
        <v>93</v>
      </c>
      <c r="H36" s="132">
        <v>0</v>
      </c>
    </row>
    <row r="37" spans="1:8" s="20" customFormat="1" ht="25.05" customHeight="1">
      <c r="A37" s="277"/>
      <c r="B37" s="129" t="s">
        <v>135</v>
      </c>
      <c r="C37" s="71" t="s">
        <v>136</v>
      </c>
      <c r="D37" s="130">
        <v>45213</v>
      </c>
      <c r="E37" s="127" t="s">
        <v>86</v>
      </c>
      <c r="F37" s="127">
        <v>920</v>
      </c>
      <c r="G37" s="72" t="s">
        <v>187</v>
      </c>
      <c r="H37" s="132">
        <v>7</v>
      </c>
    </row>
    <row r="38" spans="1:8" s="20" customFormat="1" ht="25.05" customHeight="1">
      <c r="A38" s="277"/>
      <c r="B38" s="129" t="s">
        <v>137</v>
      </c>
      <c r="C38" s="71" t="s">
        <v>138</v>
      </c>
      <c r="D38" s="130">
        <v>45230</v>
      </c>
      <c r="E38" s="127" t="s">
        <v>86</v>
      </c>
      <c r="F38" s="126">
        <v>28578</v>
      </c>
      <c r="G38" s="72" t="s">
        <v>187</v>
      </c>
      <c r="H38" s="132">
        <v>289</v>
      </c>
    </row>
    <row r="39" spans="1:8" s="20" customFormat="1" ht="25.05" customHeight="1">
      <c r="A39" s="277"/>
      <c r="B39" s="129" t="s">
        <v>139</v>
      </c>
      <c r="C39" s="71" t="s">
        <v>140</v>
      </c>
      <c r="D39" s="130">
        <v>45231</v>
      </c>
      <c r="E39" s="127" t="s">
        <v>86</v>
      </c>
      <c r="F39" s="126">
        <v>22023</v>
      </c>
      <c r="G39" s="72">
        <v>152</v>
      </c>
      <c r="H39" s="132" t="s">
        <v>187</v>
      </c>
    </row>
    <row r="40" spans="1:8" s="20" customFormat="1" ht="25.05" customHeight="1">
      <c r="A40" s="277"/>
      <c r="B40" s="275" t="s">
        <v>141</v>
      </c>
      <c r="C40" s="71" t="s">
        <v>142</v>
      </c>
      <c r="D40" s="280">
        <v>45260</v>
      </c>
      <c r="E40" s="179" t="s">
        <v>143</v>
      </c>
      <c r="F40" s="232">
        <v>2500000</v>
      </c>
      <c r="G40" s="267">
        <v>14137</v>
      </c>
      <c r="H40" s="268" t="s">
        <v>145</v>
      </c>
    </row>
    <row r="41" spans="1:8" s="20" customFormat="1" ht="25.05" customHeight="1" thickBot="1">
      <c r="A41" s="278"/>
      <c r="B41" s="279"/>
      <c r="C41" s="76" t="s">
        <v>144</v>
      </c>
      <c r="D41" s="281"/>
      <c r="E41" s="241"/>
      <c r="F41" s="282"/>
      <c r="G41" s="269"/>
      <c r="H41" s="268"/>
    </row>
    <row r="42" spans="1:8" s="20" customFormat="1" ht="25.05" customHeight="1">
      <c r="A42" s="225" t="s">
        <v>146</v>
      </c>
      <c r="B42" s="77" t="s">
        <v>147</v>
      </c>
      <c r="C42" s="67" t="s">
        <v>148</v>
      </c>
      <c r="D42" s="78">
        <v>45015</v>
      </c>
      <c r="E42" s="79" t="s">
        <v>118</v>
      </c>
      <c r="F42" s="80">
        <v>476190</v>
      </c>
      <c r="G42" s="81">
        <v>3902</v>
      </c>
      <c r="H42" s="70" t="s">
        <v>187</v>
      </c>
    </row>
    <row r="43" spans="1:8" s="20" customFormat="1" ht="25.05" customHeight="1">
      <c r="A43" s="226"/>
      <c r="B43" s="125" t="s">
        <v>149</v>
      </c>
      <c r="C43" s="127" t="s">
        <v>150</v>
      </c>
      <c r="D43" s="35">
        <v>44993</v>
      </c>
      <c r="E43" s="128" t="s">
        <v>118</v>
      </c>
      <c r="F43" s="131">
        <v>352381</v>
      </c>
      <c r="G43" s="133">
        <v>3036</v>
      </c>
      <c r="H43" s="132" t="s">
        <v>187</v>
      </c>
    </row>
    <row r="44" spans="1:8" s="20" customFormat="1" ht="25.05" customHeight="1">
      <c r="A44" s="226"/>
      <c r="B44" s="185" t="s">
        <v>151</v>
      </c>
      <c r="C44" s="127" t="s">
        <v>152</v>
      </c>
      <c r="D44" s="35">
        <v>45017</v>
      </c>
      <c r="E44" s="128" t="s">
        <v>118</v>
      </c>
      <c r="F44" s="266">
        <v>682857</v>
      </c>
      <c r="G44" s="267">
        <v>4850</v>
      </c>
      <c r="H44" s="268" t="s">
        <v>145</v>
      </c>
    </row>
    <row r="45" spans="1:8" s="20" customFormat="1" ht="25.05" customHeight="1">
      <c r="A45" s="226"/>
      <c r="B45" s="185"/>
      <c r="C45" s="127" t="s">
        <v>153</v>
      </c>
      <c r="D45" s="35">
        <v>45017</v>
      </c>
      <c r="E45" s="128" t="s">
        <v>47</v>
      </c>
      <c r="F45" s="266"/>
      <c r="G45" s="267"/>
      <c r="H45" s="268"/>
    </row>
    <row r="46" spans="1:8" s="20" customFormat="1" ht="25.05" customHeight="1">
      <c r="A46" s="226"/>
      <c r="B46" s="125" t="s">
        <v>154</v>
      </c>
      <c r="C46" s="127" t="s">
        <v>155</v>
      </c>
      <c r="D46" s="35">
        <v>45037</v>
      </c>
      <c r="E46" s="128" t="s">
        <v>118</v>
      </c>
      <c r="F46" s="131">
        <v>54286</v>
      </c>
      <c r="G46" s="72">
        <v>667</v>
      </c>
      <c r="H46" s="132" t="s">
        <v>187</v>
      </c>
    </row>
    <row r="47" spans="1:8" s="20" customFormat="1" ht="25.05" customHeight="1">
      <c r="A47" s="226"/>
      <c r="B47" s="185" t="s">
        <v>156</v>
      </c>
      <c r="C47" s="179" t="s">
        <v>157</v>
      </c>
      <c r="D47" s="186" t="s">
        <v>158</v>
      </c>
      <c r="E47" s="186" t="s">
        <v>118</v>
      </c>
      <c r="F47" s="266">
        <v>2676190</v>
      </c>
      <c r="G47" s="267">
        <v>14706</v>
      </c>
      <c r="H47" s="268" t="s">
        <v>145</v>
      </c>
    </row>
    <row r="48" spans="1:8" s="20" customFormat="1" ht="25.05" customHeight="1">
      <c r="A48" s="226"/>
      <c r="B48" s="185"/>
      <c r="C48" s="179"/>
      <c r="D48" s="186"/>
      <c r="E48" s="186"/>
      <c r="F48" s="266"/>
      <c r="G48" s="267"/>
      <c r="H48" s="268"/>
    </row>
    <row r="49" spans="1:9" s="20" customFormat="1" ht="25.05" customHeight="1">
      <c r="A49" s="226"/>
      <c r="B49" s="125" t="s">
        <v>163</v>
      </c>
      <c r="C49" s="127" t="s">
        <v>164</v>
      </c>
      <c r="D49" s="35">
        <v>45150</v>
      </c>
      <c r="E49" s="128" t="s">
        <v>118</v>
      </c>
      <c r="F49" s="131">
        <v>504762</v>
      </c>
      <c r="G49" s="133">
        <v>4638</v>
      </c>
      <c r="H49" s="132" t="s">
        <v>145</v>
      </c>
    </row>
    <row r="50" spans="1:9" s="20" customFormat="1" ht="25.05" customHeight="1">
      <c r="A50" s="226"/>
      <c r="B50" s="125" t="s">
        <v>165</v>
      </c>
      <c r="C50" s="127" t="s">
        <v>166</v>
      </c>
      <c r="D50" s="35">
        <v>45191</v>
      </c>
      <c r="E50" s="128" t="s">
        <v>118</v>
      </c>
      <c r="F50" s="131">
        <v>45870</v>
      </c>
      <c r="G50" s="72">
        <v>302</v>
      </c>
      <c r="H50" s="132" t="s">
        <v>145</v>
      </c>
    </row>
    <row r="51" spans="1:9" s="20" customFormat="1" ht="25.05" customHeight="1">
      <c r="A51" s="226"/>
      <c r="B51" s="125" t="s">
        <v>167</v>
      </c>
      <c r="C51" s="127" t="s">
        <v>168</v>
      </c>
      <c r="D51" s="35">
        <v>45220</v>
      </c>
      <c r="E51" s="128" t="s">
        <v>118</v>
      </c>
      <c r="F51" s="131">
        <v>92381</v>
      </c>
      <c r="G51" s="133">
        <v>1060</v>
      </c>
      <c r="H51" s="132" t="s">
        <v>145</v>
      </c>
    </row>
    <row r="52" spans="1:9" s="20" customFormat="1" ht="25.05" customHeight="1">
      <c r="A52" s="226"/>
      <c r="B52" s="125" t="s">
        <v>169</v>
      </c>
      <c r="C52" s="127" t="s">
        <v>170</v>
      </c>
      <c r="D52" s="35">
        <v>45227</v>
      </c>
      <c r="E52" s="128" t="s">
        <v>118</v>
      </c>
      <c r="F52" s="131">
        <v>176190</v>
      </c>
      <c r="G52" s="133">
        <v>1885</v>
      </c>
      <c r="H52" s="132" t="s">
        <v>145</v>
      </c>
    </row>
    <row r="53" spans="1:9" s="20" customFormat="1" ht="25.05" customHeight="1">
      <c r="A53" s="226"/>
      <c r="B53" s="125" t="s">
        <v>171</v>
      </c>
      <c r="C53" s="127" t="s">
        <v>172</v>
      </c>
      <c r="D53" s="35">
        <v>45234</v>
      </c>
      <c r="E53" s="128" t="s">
        <v>47</v>
      </c>
      <c r="F53" s="131">
        <v>94286</v>
      </c>
      <c r="G53" s="72">
        <v>948</v>
      </c>
      <c r="H53" s="132" t="s">
        <v>145</v>
      </c>
    </row>
    <row r="54" spans="1:9" s="20" customFormat="1" ht="25.05" customHeight="1">
      <c r="A54" s="226"/>
      <c r="B54" s="239" t="s">
        <v>173</v>
      </c>
      <c r="C54" s="241" t="s">
        <v>208</v>
      </c>
      <c r="D54" s="243" t="s">
        <v>175</v>
      </c>
      <c r="E54" s="243" t="s">
        <v>118</v>
      </c>
      <c r="F54" s="245">
        <v>2509476</v>
      </c>
      <c r="G54" s="149">
        <f>9395/2</f>
        <v>4697.5</v>
      </c>
      <c r="H54" s="148" t="s">
        <v>145</v>
      </c>
    </row>
    <row r="55" spans="1:9" s="20" customFormat="1" ht="25.05" customHeight="1">
      <c r="A55" s="226"/>
      <c r="B55" s="240"/>
      <c r="C55" s="242"/>
      <c r="D55" s="244"/>
      <c r="E55" s="244"/>
      <c r="F55" s="246"/>
      <c r="G55" s="164">
        <v>3719</v>
      </c>
      <c r="H55" s="165" t="s">
        <v>145</v>
      </c>
      <c r="I55" s="169" t="s">
        <v>226</v>
      </c>
    </row>
    <row r="56" spans="1:9" s="20" customFormat="1" ht="25.05" customHeight="1">
      <c r="A56" s="226"/>
      <c r="B56" s="125" t="s">
        <v>176</v>
      </c>
      <c r="C56" s="127" t="s">
        <v>177</v>
      </c>
      <c r="D56" s="35">
        <v>45254</v>
      </c>
      <c r="E56" s="128" t="s">
        <v>178</v>
      </c>
      <c r="F56" s="131">
        <v>377374</v>
      </c>
      <c r="G56" s="133">
        <v>2390</v>
      </c>
      <c r="H56" s="132" t="s">
        <v>145</v>
      </c>
    </row>
    <row r="57" spans="1:9" s="20" customFormat="1" ht="25.05" customHeight="1">
      <c r="A57" s="226"/>
      <c r="B57" s="185" t="s">
        <v>179</v>
      </c>
      <c r="C57" s="127" t="s">
        <v>180</v>
      </c>
      <c r="D57" s="35">
        <v>45262</v>
      </c>
      <c r="E57" s="128" t="s">
        <v>178</v>
      </c>
      <c r="F57" s="266">
        <v>933334</v>
      </c>
      <c r="G57" s="267">
        <v>8301</v>
      </c>
      <c r="H57" s="268" t="s">
        <v>145</v>
      </c>
    </row>
    <row r="58" spans="1:9" s="20" customFormat="1" ht="25.05" customHeight="1">
      <c r="A58" s="226"/>
      <c r="B58" s="185"/>
      <c r="C58" s="127" t="s">
        <v>181</v>
      </c>
      <c r="D58" s="35">
        <v>45262</v>
      </c>
      <c r="E58" s="128" t="s">
        <v>178</v>
      </c>
      <c r="F58" s="266"/>
      <c r="G58" s="267"/>
      <c r="H58" s="268"/>
    </row>
    <row r="59" spans="1:9" s="20" customFormat="1" ht="25.05" customHeight="1" thickBot="1">
      <c r="A59" s="283"/>
      <c r="B59" s="82" t="s">
        <v>182</v>
      </c>
      <c r="C59" s="83" t="s">
        <v>183</v>
      </c>
      <c r="D59" s="84">
        <v>45280</v>
      </c>
      <c r="E59" s="85" t="s">
        <v>178</v>
      </c>
      <c r="F59" s="86">
        <v>476190</v>
      </c>
      <c r="G59" s="87">
        <v>4506</v>
      </c>
      <c r="H59" s="88" t="s">
        <v>145</v>
      </c>
    </row>
    <row r="60" spans="1:9" s="20" customFormat="1" ht="25.05" customHeight="1" thickBot="1">
      <c r="A60" s="260" t="s">
        <v>215</v>
      </c>
      <c r="B60" s="261"/>
      <c r="C60" s="261"/>
      <c r="D60" s="261"/>
      <c r="E60" s="262"/>
      <c r="F60" s="263">
        <f>SUM(F6:F59)</f>
        <v>15926319</v>
      </c>
      <c r="G60" s="264"/>
      <c r="H60" s="265"/>
    </row>
    <row r="61" spans="1:9" s="20" customFormat="1" ht="25.05" customHeight="1">
      <c r="A61" s="272" t="s">
        <v>29</v>
      </c>
      <c r="B61" s="273"/>
      <c r="C61" s="273"/>
      <c r="D61" s="273"/>
      <c r="E61" s="273"/>
      <c r="F61" s="274"/>
      <c r="G61" s="91">
        <f>SUM(G6:G59)</f>
        <v>101241.5</v>
      </c>
      <c r="H61" s="92">
        <f>SUM(H6:H59)</f>
        <v>3311</v>
      </c>
    </row>
    <row r="62" spans="1:9" s="20" customFormat="1" ht="25.05" customHeight="1">
      <c r="A62" s="255" t="s">
        <v>214</v>
      </c>
      <c r="B62" s="256"/>
      <c r="C62" s="256"/>
      <c r="D62" s="256"/>
      <c r="E62" s="256"/>
      <c r="F62" s="257"/>
      <c r="G62" s="258">
        <f>15000000*0.0005</f>
        <v>7500</v>
      </c>
      <c r="H62" s="259"/>
    </row>
    <row r="63" spans="1:9" s="20" customFormat="1" ht="25.05" customHeight="1" thickBot="1">
      <c r="A63" s="270" t="s">
        <v>30</v>
      </c>
      <c r="B63" s="271"/>
      <c r="C63" s="271"/>
      <c r="D63" s="271"/>
      <c r="E63" s="271"/>
      <c r="F63" s="271"/>
      <c r="G63" s="251">
        <f>G61+H61-1+G62</f>
        <v>112051.5</v>
      </c>
      <c r="H63" s="252"/>
    </row>
    <row r="64" spans="1:9" s="20" customFormat="1" ht="25.05" customHeight="1"/>
    <row r="65" spans="1:8" s="20" customFormat="1" ht="25.05" customHeight="1">
      <c r="A65" s="90" t="s">
        <v>209</v>
      </c>
    </row>
    <row r="66" spans="1:8" ht="25.05" customHeight="1">
      <c r="A66" s="90" t="s">
        <v>218</v>
      </c>
      <c r="B66" s="9"/>
      <c r="C66" s="9"/>
      <c r="D66" s="10"/>
      <c r="E66" s="9"/>
      <c r="F66" s="10"/>
      <c r="G66" s="10"/>
      <c r="H66" s="8"/>
    </row>
    <row r="67" spans="1:8" ht="25.05" customHeight="1" thickBot="1">
      <c r="E67" s="4" t="s">
        <v>12</v>
      </c>
      <c r="F67" s="6"/>
      <c r="G67" s="6"/>
      <c r="H67" s="6"/>
    </row>
    <row r="68" spans="1:8" ht="22.05" customHeight="1"/>
    <row r="69" spans="1:8" ht="22.05" customHeight="1"/>
    <row r="70" spans="1:8" ht="22.05" customHeight="1"/>
    <row r="71" spans="1:8" ht="22.05" customHeight="1"/>
    <row r="72" spans="1:8" ht="22.05" customHeight="1"/>
    <row r="73" spans="1:8" ht="22.05" customHeight="1"/>
  </sheetData>
  <mergeCells count="42">
    <mergeCell ref="A63:F63"/>
    <mergeCell ref="G63:H63"/>
    <mergeCell ref="A61:F61"/>
    <mergeCell ref="B7:B9"/>
    <mergeCell ref="D7:D9"/>
    <mergeCell ref="E7:E9"/>
    <mergeCell ref="A6:A41"/>
    <mergeCell ref="B40:B41"/>
    <mergeCell ref="D40:D41"/>
    <mergeCell ref="E40:E41"/>
    <mergeCell ref="F40:F41"/>
    <mergeCell ref="A42:A59"/>
    <mergeCell ref="B44:B45"/>
    <mergeCell ref="F44:F45"/>
    <mergeCell ref="B47:B48"/>
    <mergeCell ref="C47:C48"/>
    <mergeCell ref="D47:D48"/>
    <mergeCell ref="E47:E48"/>
    <mergeCell ref="F47:F48"/>
    <mergeCell ref="A4:H4"/>
    <mergeCell ref="H7:H9"/>
    <mergeCell ref="G40:G41"/>
    <mergeCell ref="H40:H41"/>
    <mergeCell ref="F7:F9"/>
    <mergeCell ref="G7:G9"/>
    <mergeCell ref="G44:G45"/>
    <mergeCell ref="H44:H45"/>
    <mergeCell ref="G47:G48"/>
    <mergeCell ref="H47:H48"/>
    <mergeCell ref="A62:F62"/>
    <mergeCell ref="G62:H62"/>
    <mergeCell ref="A60:E60"/>
    <mergeCell ref="F60:H60"/>
    <mergeCell ref="B57:B58"/>
    <mergeCell ref="F57:F58"/>
    <mergeCell ref="G57:G58"/>
    <mergeCell ref="H57:H58"/>
    <mergeCell ref="B54:B55"/>
    <mergeCell ref="C54:C55"/>
    <mergeCell ref="D54:D55"/>
    <mergeCell ref="E54:E55"/>
    <mergeCell ref="F54:F55"/>
  </mergeCells>
  <phoneticPr fontId="2" type="noConversion"/>
  <printOptions horizontalCentered="1"/>
  <pageMargins left="0.23622047244094491" right="0.23622047244094491" top="0.11811023622047245" bottom="0.11811023622047245" header="0" footer="0"/>
  <pageSetup paperSize="9" scale="5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總表</vt:lpstr>
      <vt:lpstr>Annie</vt:lpstr>
      <vt:lpstr>Debby</vt:lpstr>
      <vt:lpstr>Giselle</vt:lpstr>
      <vt:lpstr>Jasmine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2023-01-19T07:25:24Z</cp:lastPrinted>
  <dcterms:created xsi:type="dcterms:W3CDTF">2020-01-20T11:14:28Z</dcterms:created>
  <dcterms:modified xsi:type="dcterms:W3CDTF">2024-02-06T14:28:57Z</dcterms:modified>
</cp:coreProperties>
</file>