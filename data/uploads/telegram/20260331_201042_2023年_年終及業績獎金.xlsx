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03 財務會計\01 財務相關\04 員工相關\02 Lina\2023年度\"/>
    </mc:Choice>
  </mc:AlternateContent>
  <bookViews>
    <workbookView xWindow="-110" yWindow="-110" windowWidth="23270" windowHeight="14040" activeTab="2"/>
  </bookViews>
  <sheets>
    <sheet name="總表" sheetId="1" r:id="rId1"/>
    <sheet name="Annie" sheetId="3" r:id="rId2"/>
    <sheet name="Giselle" sheetId="9" r:id="rId3"/>
    <sheet name="Kelly" sheetId="10" r:id="rId4"/>
    <sheet name="Jasmine" sheetId="8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2" i="8" l="1"/>
  <c r="I2" i="3"/>
  <c r="F2" i="8" l="1"/>
  <c r="L31" i="3" l="1"/>
  <c r="L26" i="3" l="1"/>
  <c r="I12" i="10" l="1"/>
  <c r="J12" i="10"/>
  <c r="K12" i="10"/>
  <c r="L12" i="10"/>
  <c r="H12" i="10"/>
  <c r="J12" i="9"/>
  <c r="K37" i="9"/>
  <c r="K36" i="9"/>
  <c r="K34" i="9"/>
  <c r="H13" i="10" l="1"/>
  <c r="I31" i="3"/>
  <c r="L41" i="9"/>
  <c r="K41" i="9"/>
  <c r="J41" i="9"/>
  <c r="I41" i="9"/>
  <c r="H30" i="9" l="1"/>
  <c r="H39" i="9" s="1"/>
  <c r="H40" i="9" s="1"/>
  <c r="H38" i="9"/>
  <c r="J35" i="8"/>
  <c r="K37" i="8"/>
  <c r="J36" i="8" l="1"/>
  <c r="J37" i="8" l="1"/>
  <c r="H41" i="9"/>
  <c r="J31" i="3"/>
  <c r="I32" i="3"/>
  <c r="F2" i="3" s="1"/>
  <c r="K31" i="3"/>
  <c r="J6" i="1"/>
  <c r="E2" i="10"/>
  <c r="I2" i="10" s="1"/>
  <c r="H42" i="9" l="1"/>
  <c r="F2" i="9" s="1"/>
  <c r="L37" i="8"/>
  <c r="M37" i="8"/>
  <c r="J38" i="8" l="1"/>
  <c r="I2" i="9" l="1"/>
  <c r="J5" i="1" l="1"/>
  <c r="J2" i="1" l="1"/>
  <c r="J3" i="1" l="1"/>
  <c r="J4" i="1" l="1"/>
  <c r="J7" i="1" l="1"/>
</calcChain>
</file>

<file path=xl/comments1.xml><?xml version="1.0" encoding="utf-8"?>
<comments xmlns="http://schemas.openxmlformats.org/spreadsheetml/2006/main">
  <authors>
    <author>user</author>
  </authors>
  <commentList>
    <comment ref="C3" authorId="0" shapeId="0">
      <text>
        <r>
          <rPr>
            <sz val="8"/>
            <color indexed="81"/>
            <rFont val="微軟正黑體"/>
            <family val="2"/>
            <charset val="136"/>
          </rPr>
          <t>調薪：108/08/01 $35000
             108/10/01 $38000</t>
        </r>
      </text>
    </comment>
    <comment ref="C4" authorId="0" shapeId="0">
      <text>
        <r>
          <rPr>
            <sz val="8"/>
            <color indexed="81"/>
            <rFont val="微軟正黑體"/>
            <family val="2"/>
            <charset val="136"/>
          </rPr>
          <t>調薪：111/02/01 $36000
調薪：112/02/01 $37000
調薪：112/07/01 $39000</t>
        </r>
      </text>
    </comment>
    <comment ref="C5" authorId="0" shapeId="0">
      <text>
        <r>
          <rPr>
            <sz val="8"/>
            <color indexed="81"/>
            <rFont val="微軟正黑體"/>
            <family val="2"/>
            <charset val="136"/>
          </rPr>
          <t>調薪：112/09/01 $35000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調薪：108/08/01 $35000
             108/10/01 $38000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調薪：112/09/01 $35000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調薪：111/02/01 $36000
調薪：112/02/01 $37000
調薪：112/07/01 $39000</t>
        </r>
      </text>
    </comment>
  </commentList>
</comments>
</file>

<file path=xl/sharedStrings.xml><?xml version="1.0" encoding="utf-8"?>
<sst xmlns="http://schemas.openxmlformats.org/spreadsheetml/2006/main" count="608" uniqueCount="256">
  <si>
    <t>Annie</t>
  </si>
  <si>
    <t>黃筱庭</t>
    <phoneticPr fontId="2" type="noConversion"/>
  </si>
  <si>
    <t>Jasmine</t>
    <phoneticPr fontId="2" type="noConversion"/>
  </si>
  <si>
    <t>姓名</t>
  </si>
  <si>
    <t>到職日</t>
    <phoneticPr fontId="2" type="noConversion"/>
  </si>
  <si>
    <t>小計</t>
    <phoneticPr fontId="2" type="noConversion"/>
  </si>
  <si>
    <t>周義惠</t>
    <phoneticPr fontId="2" type="noConversion"/>
  </si>
  <si>
    <t>到職天數</t>
    <phoneticPr fontId="2" type="noConversion"/>
  </si>
  <si>
    <t>月薪</t>
    <phoneticPr fontId="2" type="noConversion"/>
  </si>
  <si>
    <t>業績獎金</t>
    <phoneticPr fontId="2" type="noConversion"/>
  </si>
  <si>
    <t>專案簽名</t>
    <phoneticPr fontId="2" type="noConversion"/>
  </si>
  <si>
    <t>羅臻</t>
    <phoneticPr fontId="2" type="noConversion"/>
  </si>
  <si>
    <t>Lina</t>
    <phoneticPr fontId="2" type="noConversion"/>
  </si>
  <si>
    <t>執行長</t>
    <phoneticPr fontId="2" type="noConversion"/>
  </si>
  <si>
    <t>N/A</t>
    <phoneticPr fontId="2" type="noConversion"/>
  </si>
  <si>
    <t>專案</t>
  </si>
  <si>
    <t>案號</t>
  </si>
  <si>
    <t>專案名稱</t>
  </si>
  <si>
    <t>活動日期</t>
  </si>
  <si>
    <t>協助專案</t>
  </si>
  <si>
    <t>專案未稅金額</t>
  </si>
  <si>
    <t>獎金5%</t>
  </si>
  <si>
    <t>保底獎金</t>
    <phoneticPr fontId="2" type="noConversion"/>
  </si>
  <si>
    <t>特殊獎金</t>
    <phoneticPr fontId="2" type="noConversion"/>
  </si>
  <si>
    <t>支援獎金</t>
    <phoneticPr fontId="2" type="noConversion"/>
  </si>
  <si>
    <t>總計</t>
    <phoneticPr fontId="2" type="noConversion"/>
  </si>
  <si>
    <t>姓名</t>
    <phoneticPr fontId="2" type="noConversion"/>
  </si>
  <si>
    <t>獎金總計</t>
  </si>
  <si>
    <t>專案獎金</t>
    <phoneticPr fontId="2" type="noConversion"/>
  </si>
  <si>
    <t>潘冠今</t>
    <phoneticPr fontId="2" type="noConversion"/>
  </si>
  <si>
    <t>Giselle</t>
    <phoneticPr fontId="2" type="noConversion"/>
  </si>
  <si>
    <t>姓名</t>
    <phoneticPr fontId="2" type="noConversion"/>
  </si>
  <si>
    <t>到職日</t>
    <phoneticPr fontId="2" type="noConversion"/>
  </si>
  <si>
    <t>月薪</t>
    <phoneticPr fontId="2" type="noConversion"/>
  </si>
  <si>
    <t>到職天數</t>
    <phoneticPr fontId="2" type="noConversion"/>
  </si>
  <si>
    <t>保底獎金</t>
    <phoneticPr fontId="2" type="noConversion"/>
  </si>
  <si>
    <t>特殊獎金</t>
    <phoneticPr fontId="2" type="noConversion"/>
  </si>
  <si>
    <t>支援獎金</t>
    <phoneticPr fontId="2" type="noConversion"/>
  </si>
  <si>
    <t>小計</t>
    <phoneticPr fontId="2" type="noConversion"/>
  </si>
  <si>
    <t>N/A</t>
  </si>
  <si>
    <t>Audery</t>
  </si>
  <si>
    <t>Lina</t>
  </si>
  <si>
    <t>Giselle</t>
  </si>
  <si>
    <t>2022 TTA 公關品</t>
  </si>
  <si>
    <t>-</t>
    <phoneticPr fontId="2" type="noConversion"/>
  </si>
  <si>
    <t>Giselle獎金</t>
    <phoneticPr fontId="2" type="noConversion"/>
  </si>
  <si>
    <t>※到職未滿一年，故月薪/365*到職天數</t>
    <phoneticPr fontId="2" type="noConversion"/>
  </si>
  <si>
    <t>Vivian</t>
  </si>
  <si>
    <t>-</t>
    <phoneticPr fontId="2" type="noConversion"/>
  </si>
  <si>
    <t>Annie獎金</t>
    <phoneticPr fontId="2" type="noConversion"/>
  </si>
  <si>
    <t>Jasmine總業績量</t>
    <phoneticPr fontId="2" type="noConversion"/>
  </si>
  <si>
    <t>※計算方式專案 100%業績+支援業績50%百萬以下無條件捨棄</t>
    <phoneticPr fontId="2" type="noConversion"/>
  </si>
  <si>
    <t>※業績達標800萬起以比例提撥獎金 ，總業績金額無條件捨去百萬以下乘以0.0005計算</t>
    <phoneticPr fontId="2" type="noConversion"/>
  </si>
  <si>
    <t>※業績達標800萬起以比例提撥獎金 ，總業績金額無條件捨去百萬以下乘以0.001計算</t>
    <phoneticPr fontId="2" type="noConversion"/>
  </si>
  <si>
    <t>執行設計</t>
  </si>
  <si>
    <t>設計支援</t>
  </si>
  <si>
    <t>獎金2%</t>
  </si>
  <si>
    <t>獎金3%</t>
  </si>
  <si>
    <t>LL230101</t>
  </si>
  <si>
    <t>2023 Gogooro 玩具圖書館志工活動</t>
  </si>
  <si>
    <t>Jasmine</t>
  </si>
  <si>
    <t>LL230201</t>
  </si>
  <si>
    <t>TTA x CES 2023 記者會 第一期</t>
  </si>
  <si>
    <t>12/27-02/28</t>
  </si>
  <si>
    <t>Debby
Giselle</t>
  </si>
  <si>
    <t>Mindy</t>
  </si>
  <si>
    <t>LL230204</t>
  </si>
  <si>
    <t>2023 Gogoro 桃園市府消防局贈車美工製作</t>
  </si>
  <si>
    <t>LL230301</t>
  </si>
  <si>
    <t>2023 Gogoro 嘉義中山 GS 開幕宣傳製作物</t>
  </si>
  <si>
    <t>LL230602</t>
  </si>
  <si>
    <t>2023 TTA加速器x學研新創圈媒合交流會</t>
  </si>
  <si>
    <t>06/27中興 
06/30成大</t>
  </si>
  <si>
    <t>LL230702</t>
  </si>
  <si>
    <t>2023 Gogoro 型速駕訓班活動＿SS Pure Edition</t>
  </si>
  <si>
    <t>Audrey</t>
  </si>
  <si>
    <t>LL231002</t>
  </si>
  <si>
    <t>2023 ART TAIPEI_開幕夜派對</t>
  </si>
  <si>
    <t>Kelly+外發</t>
  </si>
  <si>
    <t>LL231102</t>
  </si>
  <si>
    <t>2023 福爾摩沙領航加速培訓計畫</t>
  </si>
  <si>
    <t>Giselle/Kelly</t>
  </si>
  <si>
    <t>Lina (LL)</t>
    <phoneticPr fontId="2" type="noConversion"/>
  </si>
  <si>
    <t>DL230101</t>
  </si>
  <si>
    <t>2022 Cooler Master尾牙</t>
  </si>
  <si>
    <t>DL230301</t>
  </si>
  <si>
    <t>2023 TTA 科技女力XYZ座談會</t>
  </si>
  <si>
    <t>DL230403</t>
  </si>
  <si>
    <t>2023 TAcc+SpaceTech徵案說明會II</t>
  </si>
  <si>
    <t>DL230404</t>
  </si>
  <si>
    <t>2023 TTA Talk #1(台大場)</t>
  </si>
  <si>
    <t>DL230801</t>
  </si>
  <si>
    <t>2023 TAcc+SpaceTech 交流會</t>
  </si>
  <si>
    <t>2023 TTA 歐洲展覽活動</t>
  </si>
  <si>
    <t>06/12-06/16</t>
  </si>
  <si>
    <t>2023 InnoVex TTA館活動暨國際論壇</t>
  </si>
  <si>
    <t>05/30-06/02</t>
  </si>
  <si>
    <t>2023 TTA五週年慶活動</t>
  </si>
  <si>
    <t>09/11-09/12</t>
  </si>
  <si>
    <t>Giselle/小杰</t>
  </si>
  <si>
    <t>2023 TTA Talk FCU</t>
  </si>
  <si>
    <t>2023 TTA Talk x NTTU</t>
  </si>
  <si>
    <t>Giselle/Kelly/maya'</t>
  </si>
  <si>
    <t>2024 TTA CES展前記者會</t>
  </si>
  <si>
    <t>Giselle/小杰/Kelly/maya'</t>
  </si>
  <si>
    <t>TTA 形象文創用品</t>
  </si>
  <si>
    <t>2023 TTA 場域文創禮品</t>
  </si>
  <si>
    <t>2023 TTA 場域文創形象用品</t>
  </si>
  <si>
    <t>Kelly</t>
  </si>
  <si>
    <t>2023 TTA 場域文創用品II</t>
  </si>
  <si>
    <t>2023 名佳利工廠貴賓深度參訪</t>
  </si>
  <si>
    <t>2023 restyle 2050 世界地球日活動</t>
  </si>
  <si>
    <t>04/20-04/22</t>
  </si>
  <si>
    <t>Debby/Giselle</t>
  </si>
  <si>
    <t>2023 Gogoro 中和中正 GS 開幕宣傳製作物</t>
  </si>
  <si>
    <t>2023 Coolermaster 電腦展總部記者會暨會後晚宴</t>
  </si>
  <si>
    <t>05/29、05/31</t>
  </si>
  <si>
    <t>2023 Gogoro 太平中興 GS 開幕宣傳製作物</t>
  </si>
  <si>
    <t>2023 Gogoro 台中潭子 GS 開幕宣傳製作物</t>
  </si>
  <si>
    <t>Vivian(VL)</t>
    <phoneticPr fontId="2" type="noConversion"/>
  </si>
  <si>
    <t>VL230304</t>
  </si>
  <si>
    <t>VL230401</t>
  </si>
  <si>
    <t>VL230402</t>
  </si>
  <si>
    <t>VL230501</t>
  </si>
  <si>
    <t>VL230503</t>
  </si>
  <si>
    <t>VL230601</t>
  </si>
  <si>
    <t>GP230501</t>
  </si>
  <si>
    <t>GP230701</t>
  </si>
  <si>
    <t>GP231201</t>
  </si>
  <si>
    <t>GP231203</t>
  </si>
  <si>
    <t>Giselle(GP)</t>
    <phoneticPr fontId="2" type="noConversion"/>
  </si>
  <si>
    <t>Debby(DL)</t>
    <phoneticPr fontId="2" type="noConversion"/>
  </si>
  <si>
    <t>DL231201</t>
    <phoneticPr fontId="2" type="noConversion"/>
  </si>
  <si>
    <t>3% 主視覺設計+延伸設計+美工發包，專案包含其他活動但無設計製作物(晚宴、媒體、代收轉付高的費用)，或專案內有其他外發設計工作量一人一半</t>
  </si>
  <si>
    <t xml:space="preserve">業績達標獎金 </t>
    <phoneticPr fontId="2" type="noConversion"/>
  </si>
  <si>
    <t>Jasmine獎金</t>
    <phoneticPr fontId="2" type="noConversion"/>
  </si>
  <si>
    <t>2023專案獎金分配表</t>
    <phoneticPr fontId="2" type="noConversion"/>
  </si>
  <si>
    <t>張芷晴</t>
    <phoneticPr fontId="2" type="noConversion"/>
  </si>
  <si>
    <t>張芷晴</t>
    <phoneticPr fontId="2" type="noConversion"/>
  </si>
  <si>
    <t>Kelly</t>
    <phoneticPr fontId="2" type="noConversion"/>
  </si>
  <si>
    <t>獎金10%</t>
  </si>
  <si>
    <t>Lina (LL)</t>
    <phoneticPr fontId="2" type="noConversion"/>
  </si>
  <si>
    <t>LL230102</t>
  </si>
  <si>
    <t>2023 Gogoro Retail Marketing 長期工讀生(01月份)</t>
  </si>
  <si>
    <t>LL230105</t>
  </si>
  <si>
    <t>2023 彰化中正門市開幕feat.縣長</t>
  </si>
  <si>
    <t>Audery/Annie</t>
  </si>
  <si>
    <t>LL230203</t>
  </si>
  <si>
    <t>2023 Gogoro Retail Marketing 長期工讀生(02月份)</t>
  </si>
  <si>
    <t>LL230303</t>
  </si>
  <si>
    <t>2023 Gogoro Retail Marketing 長期工讀生(03月份)</t>
  </si>
  <si>
    <t>LL230401</t>
  </si>
  <si>
    <t>2023 Gogoro Retail Marketing 長期工讀生(04月份)</t>
  </si>
  <si>
    <t>LL230501</t>
  </si>
  <si>
    <t>2023 Gogoro Retail Marketing 長期工讀生(05月份)</t>
  </si>
  <si>
    <t>LL230601</t>
  </si>
  <si>
    <t>2023 Gogoro Retail Marketing 長期工讀生(06月份)</t>
  </si>
  <si>
    <t>LL230701</t>
  </si>
  <si>
    <t>2023 Gogoro Retail Marketing 長期工讀生(07月份)</t>
  </si>
  <si>
    <t>LL230801</t>
  </si>
  <si>
    <t>2023 Gogoro Retail Marketing 長期工讀生(08月份)</t>
  </si>
  <si>
    <t>LL230901</t>
  </si>
  <si>
    <t>2023 Gogoro Retail Marketing 長期工讀生(09月份)</t>
  </si>
  <si>
    <t>LL231001</t>
  </si>
  <si>
    <t>2023 Gogoro Retail Marketing 長期工讀生(10月份)</t>
  </si>
  <si>
    <t>LL231101</t>
  </si>
  <si>
    <t>2023 Gogoro Retail Marketing 長期工讀生(11月份)</t>
  </si>
  <si>
    <t>LL231201</t>
  </si>
  <si>
    <t>2023 Gogoro Retail Marketing 長期工讀生(12月份)</t>
  </si>
  <si>
    <t>TTA x CES 2023 記者會</t>
  </si>
  <si>
    <t>TTA x CES 2023 記者會</t>
    <phoneticPr fontId="2" type="noConversion"/>
  </si>
  <si>
    <t>06/27中興 
06/30成大</t>
    <phoneticPr fontId="2" type="noConversion"/>
  </si>
  <si>
    <t>7/1-2.7.15-16.29-30</t>
    <phoneticPr fontId="2" type="noConversion"/>
  </si>
  <si>
    <t>AC221206</t>
  </si>
  <si>
    <t>04/01-12/31</t>
  </si>
  <si>
    <t>AC231207</t>
  </si>
  <si>
    <t>2023 TACC 線上審查會</t>
  </si>
  <si>
    <t>06/01-12/31</t>
  </si>
  <si>
    <t>AC231208</t>
  </si>
  <si>
    <t>AC231209</t>
  </si>
  <si>
    <t>11/01-12/31</t>
  </si>
  <si>
    <t>AC231210</t>
  </si>
  <si>
    <t>AC231211</t>
  </si>
  <si>
    <t>Annie(AC)</t>
    <phoneticPr fontId="2" type="noConversion"/>
  </si>
  <si>
    <t>Giselle(GP)</t>
    <phoneticPr fontId="2" type="noConversion"/>
  </si>
  <si>
    <t>DL231201</t>
    <phoneticPr fontId="2" type="noConversion"/>
  </si>
  <si>
    <t>TTA 2023年度虛實行銷活動規劃與執行 其他雜項</t>
    <phoneticPr fontId="2" type="noConversion"/>
  </si>
  <si>
    <t>LL230106</t>
  </si>
  <si>
    <t>2022 犀牛盾Retail Holiday 聖誕樹撤場</t>
  </si>
  <si>
    <t>LL230802</t>
  </si>
  <si>
    <t>2023 裕隆經管揭牌儀式_表團協尋</t>
  </si>
  <si>
    <t>Giselle Debby</t>
  </si>
  <si>
    <t>LL230902</t>
  </si>
  <si>
    <t>2023 裕隆城開城典禮​規劃案</t>
  </si>
  <si>
    <t>SERENA/JAY/R3/Giselle</t>
  </si>
  <si>
    <t>LL231004</t>
  </si>
  <si>
    <t>Foodland 10月國際活動合作</t>
  </si>
  <si>
    <t>DL230201</t>
  </si>
  <si>
    <t>2023裕隆經銷商春酒_表團協尋</t>
  </si>
  <si>
    <t>DL230302</t>
  </si>
  <si>
    <t>2023 TAcc+SpaceTech徵案說明會</t>
  </si>
  <si>
    <t>DL230401</t>
  </si>
  <si>
    <t>2023 MDRT DAY TAIWAN_VM-Fi人力支援</t>
  </si>
  <si>
    <t>04/12-04/14</t>
  </si>
  <si>
    <t>DL230402</t>
  </si>
  <si>
    <t>2023 資策會 集思會議直播活動</t>
  </si>
  <si>
    <t>DL231201</t>
    <phoneticPr fontId="2" type="noConversion"/>
  </si>
  <si>
    <t>2023 TTA歐展行前說明會</t>
  </si>
  <si>
    <t>CES Boothcamp</t>
  </si>
  <si>
    <t>工研院MOU簽約活動</t>
  </si>
  <si>
    <t>GP230401</t>
  </si>
  <si>
    <t>2023 工研院淨零論壇特展_海報輸出</t>
  </si>
  <si>
    <t>GP231101</t>
  </si>
  <si>
    <t>2023 TTA VR展間調整案</t>
  </si>
  <si>
    <t>Giselle(GP)</t>
    <phoneticPr fontId="2" type="noConversion"/>
  </si>
  <si>
    <t>Debby(DL)</t>
    <phoneticPr fontId="2" type="noConversion"/>
  </si>
  <si>
    <t>2023專案獎金分配表</t>
    <phoneticPr fontId="2" type="noConversion"/>
  </si>
  <si>
    <t>TTA x CES 2023 記者會</t>
    <phoneticPr fontId="2" type="noConversion"/>
  </si>
  <si>
    <t>GP230101</t>
    <phoneticPr fontId="2" type="noConversion"/>
  </si>
  <si>
    <t>協助總業績量</t>
    <phoneticPr fontId="2" type="noConversion"/>
  </si>
  <si>
    <t xml:space="preserve">年度總業績量 </t>
    <phoneticPr fontId="2" type="noConversion"/>
  </si>
  <si>
    <t>年度業績獎金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</si>
  <si>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</si>
  <si>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</si>
  <si>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</si>
  <si>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</si>
  <si>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</si>
  <si>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</si>
  <si>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</si>
  <si>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</si>
  <si>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Giselle總業績量</t>
    <phoneticPr fontId="2" type="noConversion"/>
  </si>
  <si>
    <t>2024 TTA CES展前記者會</t>
    <phoneticPr fontId="2" type="noConversion"/>
  </si>
  <si>
    <t>2024 TTA CES展前記者會 (小巨蛋罰款)</t>
    <phoneticPr fontId="2" type="noConversion"/>
  </si>
  <si>
    <t>-</t>
    <phoneticPr fontId="2" type="noConversion"/>
  </si>
  <si>
    <t>2% 從外發拉案子回來設計，製作物數量很少，或專案內有其他外發設計</t>
    <phoneticPr fontId="2" type="noConversion"/>
  </si>
  <si>
    <t>5% 主視覺設計+延伸設計+美工發包+硬體發包，或純設計案</t>
    <phoneticPr fontId="2" type="noConversion"/>
  </si>
  <si>
    <t>影片</t>
    <phoneticPr fontId="2" type="noConversion"/>
  </si>
  <si>
    <t>外發量大</t>
    <phoneticPr fontId="2" type="noConversion"/>
  </si>
  <si>
    <t>媒體占比大</t>
    <phoneticPr fontId="2" type="noConversion"/>
  </si>
  <si>
    <t>其他外發</t>
    <phoneticPr fontId="2" type="noConversion"/>
  </si>
  <si>
    <t>不扣總業績及獎金%數</t>
    <phoneticPr fontId="2" type="noConversion"/>
  </si>
  <si>
    <t>其他獎金｜扣除</t>
    <phoneticPr fontId="2" type="noConversion"/>
  </si>
  <si>
    <t>扣除  0%的業績量， 設計主導的案子為主，通常是領5%獎金的案子</t>
    <phoneticPr fontId="2" type="noConversion"/>
  </si>
  <si>
    <t>扣除50%的業績量，外發設計的加入分擔的量 或 代收轉付案子多，通常是領3%獎金的案子</t>
    <phoneticPr fontId="2" type="noConversion"/>
  </si>
  <si>
    <t>扣除70%的業績量，外發設計的加入分擔的量 或 代收轉付案子多,通常是領2%獎金的案子</t>
    <phoneticPr fontId="2" type="noConversion"/>
  </si>
  <si>
    <t>10% 前期規劃報價+設計溝通+後期管理+軟硬體發包+現場執行，90%以上能自行處理無須主管與廠商溝通。</t>
    <phoneticPr fontId="2" type="noConversion"/>
  </si>
  <si>
    <t>5% 前期規劃報價+後期管理+軟硬體發包+現場執行，主力室外發專案主導，或有公司內部專案或主管協助。</t>
    <phoneticPr fontId="2" type="noConversion"/>
  </si>
  <si>
    <t>3% 支援軟體或硬體專案為主，資深專案帶著做，或是公司主管帶著做的案子。</t>
    <phoneticPr fontId="2" type="noConversion"/>
  </si>
  <si>
    <t>公司協助支付一半</t>
    <phoneticPr fontId="2" type="noConversion"/>
  </si>
  <si>
    <t>Debby(DL)</t>
    <phoneticPr fontId="2" type="noConversion"/>
  </si>
  <si>
    <t>毛利</t>
    <phoneticPr fontId="2" type="noConversion"/>
  </si>
  <si>
    <t>扣管銷毛利25%</t>
    <phoneticPr fontId="2" type="noConversion"/>
  </si>
  <si>
    <t>Kelly總業績量</t>
    <phoneticPr fontId="2" type="noConversion"/>
  </si>
  <si>
    <t>Kelly獎金</t>
    <phoneticPr fontId="2" type="noConversion"/>
  </si>
  <si>
    <t>-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</si>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</sst>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_);[Red]\(#,##0\)"/>
    <numFmt numFmtId="177" formatCode="[$-404]e/mm/dd;@"/>
    <numFmt numFmtId="178" formatCode="m&quot;月&quot;d&quot;日&quot;"/>
    <numFmt numFmtId="179" formatCode="#,##0_ "/>
  </numFmts>
  <fonts count="28">
    <font>
      <sz val="12"/>
      <color theme="1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8"/>
      <color indexed="8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12"/>
      <color rgb="FFFFFFFF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6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rgb="FFFFFFFF"/>
      <name val="Microsoft JhengHei"/>
      <family val="2"/>
      <charset val="136"/>
    </font>
    <font>
      <sz val="10"/>
      <color theme="1"/>
      <name val="Arial"/>
      <family val="2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Microsoft JhengHei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8" tint="-0.249977111117893"/>
      <name val="微軟正黑體"/>
      <family val="2"/>
      <charset val="136"/>
    </font>
    <font>
      <sz val="1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3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3" xfId="0" applyFont="1" applyBorder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76" fontId="3" fillId="8" borderId="1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1" fillId="7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178" fontId="3" fillId="0" borderId="22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/>
    </xf>
    <xf numFmtId="176" fontId="17" fillId="3" borderId="11" xfId="0" applyNumberFormat="1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3" fontId="14" fillId="0" borderId="7" xfId="0" applyNumberFormat="1" applyFont="1" applyBorder="1" applyAlignment="1">
      <alignment horizontal="center" vertical="center" wrapText="1"/>
    </xf>
    <xf numFmtId="176" fontId="3" fillId="8" borderId="5" xfId="0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3" fontId="1" fillId="0" borderId="17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78" fontId="14" fillId="7" borderId="1" xfId="0" applyNumberFormat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vertical="center" wrapText="1"/>
    </xf>
    <xf numFmtId="0" fontId="14" fillId="0" borderId="22" xfId="0" applyFont="1" applyBorder="1" applyAlignment="1">
      <alignment horizontal="center" vertical="center" wrapText="1"/>
    </xf>
    <xf numFmtId="178" fontId="14" fillId="7" borderId="22" xfId="0" applyNumberFormat="1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vertical="center" wrapText="1"/>
    </xf>
    <xf numFmtId="0" fontId="21" fillId="8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178" fontId="14" fillId="7" borderId="7" xfId="0" applyNumberFormat="1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78" fontId="14" fillId="7" borderId="10" xfId="0" applyNumberFormat="1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21" fillId="8" borderId="26" xfId="0" applyFont="1" applyFill="1" applyBorder="1" applyAlignment="1">
      <alignment vertical="center" wrapText="1"/>
    </xf>
    <xf numFmtId="3" fontId="14" fillId="0" borderId="22" xfId="0" applyNumberFormat="1" applyFont="1" applyBorder="1" applyAlignment="1">
      <alignment horizontal="center" vertical="center" wrapText="1"/>
    </xf>
    <xf numFmtId="0" fontId="21" fillId="8" borderId="23" xfId="0" applyFont="1" applyFill="1" applyBorder="1" applyAlignment="1">
      <alignment vertical="center" wrapText="1"/>
    </xf>
    <xf numFmtId="0" fontId="21" fillId="8" borderId="7" xfId="0" applyFont="1" applyFill="1" applyBorder="1" applyAlignment="1">
      <alignment vertical="center" wrapText="1"/>
    </xf>
    <xf numFmtId="3" fontId="14" fillId="0" borderId="10" xfId="0" applyNumberFormat="1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178" fontId="14" fillId="7" borderId="17" xfId="0" applyNumberFormat="1" applyFont="1" applyFill="1" applyBorder="1" applyAlignment="1">
      <alignment horizontal="center" vertical="center" wrapText="1"/>
    </xf>
    <xf numFmtId="0" fontId="14" fillId="7" borderId="17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3" fontId="13" fillId="0" borderId="17" xfId="0" applyNumberFormat="1" applyFont="1" applyBorder="1" applyAlignment="1">
      <alignment horizontal="center" vertical="center" wrapText="1"/>
    </xf>
    <xf numFmtId="0" fontId="21" fillId="8" borderId="17" xfId="0" applyFont="1" applyFill="1" applyBorder="1" applyAlignment="1">
      <alignment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3" fontId="14" fillId="8" borderId="28" xfId="0" applyNumberFormat="1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3" fontId="14" fillId="8" borderId="1" xfId="0" applyNumberFormat="1" applyFont="1" applyFill="1" applyBorder="1" applyAlignment="1">
      <alignment horizontal="center" vertical="center" wrapText="1"/>
    </xf>
    <xf numFmtId="3" fontId="14" fillId="8" borderId="5" xfId="0" applyNumberFormat="1" applyFont="1" applyFill="1" applyBorder="1" applyAlignment="1">
      <alignment horizontal="center" vertical="center" wrapText="1"/>
    </xf>
    <xf numFmtId="3" fontId="14" fillId="8" borderId="10" xfId="0" applyNumberFormat="1" applyFont="1" applyFill="1" applyBorder="1" applyAlignment="1">
      <alignment horizontal="center" vertical="center" wrapText="1"/>
    </xf>
    <xf numFmtId="3" fontId="14" fillId="8" borderId="22" xfId="0" applyNumberFormat="1" applyFont="1" applyFill="1" applyBorder="1" applyAlignment="1">
      <alignment horizontal="center" vertical="center" wrapText="1"/>
    </xf>
    <xf numFmtId="3" fontId="14" fillId="8" borderId="23" xfId="0" applyNumberFormat="1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3" fontId="3" fillId="0" borderId="7" xfId="0" applyNumberFormat="1" applyFont="1" applyFill="1" applyBorder="1" applyAlignment="1">
      <alignment horizontal="center" vertical="center" wrapText="1"/>
    </xf>
    <xf numFmtId="3" fontId="3" fillId="0" borderId="22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3" fontId="3" fillId="8" borderId="7" xfId="0" applyNumberFormat="1" applyFont="1" applyFill="1" applyBorder="1" applyAlignment="1">
      <alignment horizontal="center" vertical="center" wrapText="1"/>
    </xf>
    <xf numFmtId="3" fontId="3" fillId="8" borderId="22" xfId="0" applyNumberFormat="1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49" xfId="0" applyFont="1" applyFill="1" applyBorder="1" applyAlignment="1">
      <alignment horizontal="center" vertical="center" wrapText="1"/>
    </xf>
    <xf numFmtId="3" fontId="3" fillId="8" borderId="49" xfId="0" applyNumberFormat="1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vertical="center"/>
    </xf>
    <xf numFmtId="3" fontId="3" fillId="8" borderId="17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8" borderId="10" xfId="0" applyFont="1" applyFill="1" applyBorder="1" applyAlignment="1">
      <alignment vertical="center"/>
    </xf>
    <xf numFmtId="3" fontId="3" fillId="8" borderId="10" xfId="0" applyNumberFormat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3" fontId="1" fillId="8" borderId="12" xfId="0" applyNumberFormat="1" applyFont="1" applyFill="1" applyBorder="1" applyAlignment="1">
      <alignment horizontal="center" vertical="center" wrapText="1"/>
    </xf>
    <xf numFmtId="179" fontId="23" fillId="8" borderId="1" xfId="0" applyNumberFormat="1" applyFont="1" applyFill="1" applyBorder="1" applyAlignment="1">
      <alignment horizontal="center" vertical="center" wrapText="1"/>
    </xf>
    <xf numFmtId="3" fontId="1" fillId="8" borderId="26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179" fontId="23" fillId="8" borderId="7" xfId="0" applyNumberFormat="1" applyFont="1" applyFill="1" applyBorder="1" applyAlignment="1">
      <alignment horizontal="center" vertical="center" wrapText="1"/>
    </xf>
    <xf numFmtId="3" fontId="1" fillId="8" borderId="8" xfId="0" applyNumberFormat="1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 wrapText="1"/>
    </xf>
    <xf numFmtId="178" fontId="1" fillId="0" borderId="49" xfId="0" applyNumberFormat="1" applyFont="1" applyBorder="1" applyAlignment="1">
      <alignment horizontal="center" vertical="center" wrapText="1"/>
    </xf>
    <xf numFmtId="3" fontId="1" fillId="0" borderId="49" xfId="0" applyNumberFormat="1" applyFont="1" applyBorder="1" applyAlignment="1">
      <alignment horizontal="center" vertical="center" wrapText="1"/>
    </xf>
    <xf numFmtId="179" fontId="23" fillId="8" borderId="49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79" fontId="23" fillId="8" borderId="17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9" fontId="23" fillId="8" borderId="10" xfId="0" applyNumberFormat="1" applyFont="1" applyFill="1" applyBorder="1" applyAlignment="1">
      <alignment horizontal="center" vertical="center" wrapText="1"/>
    </xf>
    <xf numFmtId="178" fontId="1" fillId="0" borderId="7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3" fontId="1" fillId="0" borderId="7" xfId="0" applyNumberFormat="1" applyFont="1" applyFill="1" applyBorder="1" applyAlignment="1">
      <alignment horizontal="center" vertical="center" wrapText="1"/>
    </xf>
    <xf numFmtId="3" fontId="13" fillId="8" borderId="5" xfId="0" applyNumberFormat="1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179" fontId="22" fillId="8" borderId="8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0" xfId="0" applyNumberFormat="1" applyFont="1" applyFill="1" applyBorder="1" applyAlignment="1">
      <alignment horizontal="center" vertical="center" wrapText="1"/>
    </xf>
    <xf numFmtId="0" fontId="6" fillId="0" borderId="0" xfId="0" applyFont="1" applyBorder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0" xfId="0" applyFont="1">
      <alignment vertical="center"/>
    </xf>
    <xf numFmtId="0" fontId="26" fillId="0" borderId="0" xfId="0" applyFont="1" applyFill="1" applyBorder="1" applyAlignment="1">
      <alignment horizontal="left" vertical="center"/>
    </xf>
    <xf numFmtId="0" fontId="26" fillId="0" borderId="0" xfId="0" applyFont="1">
      <alignment vertical="center"/>
    </xf>
    <xf numFmtId="0" fontId="26" fillId="0" borderId="0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3" fillId="0" borderId="56" xfId="0" applyFont="1" applyBorder="1">
      <alignment vertical="center"/>
    </xf>
    <xf numFmtId="3" fontId="1" fillId="0" borderId="22" xfId="0" applyNumberFormat="1" applyFont="1" applyBorder="1" applyAlignment="1">
      <alignment horizontal="center" vertical="center" wrapText="1"/>
    </xf>
    <xf numFmtId="0" fontId="19" fillId="8" borderId="22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3" fontId="3" fillId="8" borderId="5" xfId="0" applyNumberFormat="1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78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9" fillId="8" borderId="26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178" fontId="1" fillId="7" borderId="22" xfId="0" applyNumberFormat="1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7" fillId="8" borderId="22" xfId="0" applyFont="1" applyFill="1" applyBorder="1" applyAlignment="1">
      <alignment horizontal="center" vertical="center" wrapText="1"/>
    </xf>
    <xf numFmtId="0" fontId="27" fillId="8" borderId="23" xfId="0" applyFont="1" applyFill="1" applyBorder="1" applyAlignment="1">
      <alignment horizontal="center" vertical="center" wrapText="1"/>
    </xf>
    <xf numFmtId="3" fontId="22" fillId="8" borderId="1" xfId="0" applyNumberFormat="1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3" fontId="22" fillId="8" borderId="37" xfId="0" applyNumberFormat="1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3" fontId="3" fillId="13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 wrapText="1"/>
    </xf>
    <xf numFmtId="0" fontId="22" fillId="8" borderId="37" xfId="0" applyFont="1" applyFill="1" applyBorder="1" applyAlignment="1">
      <alignment horizontal="center" vertical="center" wrapText="1"/>
    </xf>
    <xf numFmtId="3" fontId="22" fillId="8" borderId="7" xfId="0" applyNumberFormat="1" applyFont="1" applyFill="1" applyBorder="1" applyAlignment="1">
      <alignment horizontal="center" vertical="center" wrapText="1"/>
    </xf>
    <xf numFmtId="0" fontId="22" fillId="8" borderId="7" xfId="0" applyFont="1" applyFill="1" applyBorder="1" applyAlignment="1">
      <alignment horizontal="center" vertical="center" wrapText="1"/>
    </xf>
    <xf numFmtId="0" fontId="19" fillId="8" borderId="23" xfId="0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8" fontId="1" fillId="0" borderId="10" xfId="0" applyNumberFormat="1" applyFont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3" fontId="23" fillId="7" borderId="1" xfId="0" applyNumberFormat="1" applyFont="1" applyFill="1" applyBorder="1" applyAlignment="1">
      <alignment horizontal="center" vertical="center" wrapText="1"/>
    </xf>
    <xf numFmtId="3" fontId="23" fillId="0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3" fontId="3" fillId="2" borderId="22" xfId="0" applyNumberFormat="1" applyFont="1" applyFill="1" applyBorder="1" applyAlignment="1">
      <alignment horizontal="center" vertical="center" wrapText="1"/>
    </xf>
    <xf numFmtId="3" fontId="3" fillId="2" borderId="23" xfId="0" applyNumberFormat="1" applyFont="1" applyFill="1" applyBorder="1" applyAlignment="1">
      <alignment horizontal="center" vertical="center" wrapText="1"/>
    </xf>
    <xf numFmtId="178" fontId="1" fillId="0" borderId="17" xfId="0" applyNumberFormat="1" applyFont="1" applyBorder="1" applyAlignment="1">
      <alignment horizontal="center" vertical="center" wrapText="1"/>
    </xf>
    <xf numFmtId="0" fontId="19" fillId="8" borderId="17" xfId="0" applyFont="1" applyFill="1" applyBorder="1" applyAlignment="1">
      <alignment horizontal="center" vertical="center" wrapText="1"/>
    </xf>
    <xf numFmtId="0" fontId="1" fillId="6" borderId="49" xfId="0" applyFont="1" applyFill="1" applyBorder="1" applyAlignment="1">
      <alignment horizontal="center" vertical="center" wrapText="1"/>
    </xf>
    <xf numFmtId="178" fontId="3" fillId="0" borderId="49" xfId="0" applyNumberFormat="1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9" fillId="8" borderId="49" xfId="0" applyFont="1" applyFill="1" applyBorder="1" applyAlignment="1">
      <alignment horizontal="center" vertical="center" wrapText="1"/>
    </xf>
    <xf numFmtId="3" fontId="3" fillId="8" borderId="11" xfId="0" applyNumberFormat="1" applyFont="1" applyFill="1" applyBorder="1" applyAlignment="1">
      <alignment horizontal="center" vertical="center" wrapText="1"/>
    </xf>
    <xf numFmtId="3" fontId="3" fillId="8" borderId="59" xfId="0" applyNumberFormat="1" applyFont="1" applyFill="1" applyBorder="1" applyAlignment="1">
      <alignment horizontal="center" vertical="center" wrapText="1"/>
    </xf>
    <xf numFmtId="3" fontId="3" fillId="8" borderId="23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right" vertical="center"/>
    </xf>
    <xf numFmtId="0" fontId="18" fillId="3" borderId="19" xfId="0" applyFont="1" applyFill="1" applyBorder="1" applyAlignment="1">
      <alignment horizontal="right" vertical="center"/>
    </xf>
    <xf numFmtId="0" fontId="18" fillId="3" borderId="20" xfId="0" applyFont="1" applyFill="1" applyBorder="1" applyAlignment="1">
      <alignment horizontal="right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25" fillId="7" borderId="37" xfId="0" applyFont="1" applyFill="1" applyBorder="1" applyAlignment="1">
      <alignment horizontal="center" vertical="center" wrapText="1"/>
    </xf>
    <xf numFmtId="0" fontId="25" fillId="7" borderId="35" xfId="0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 wrapText="1"/>
    </xf>
    <xf numFmtId="0" fontId="25" fillId="7" borderId="24" xfId="0" applyFont="1" applyFill="1" applyBorder="1" applyAlignment="1">
      <alignment horizontal="center" vertical="center" wrapText="1"/>
    </xf>
    <xf numFmtId="0" fontId="25" fillId="7" borderId="25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0" xfId="0" applyFont="1" applyFill="1" applyBorder="1" applyAlignment="1">
      <alignment horizontal="center" vertical="center" wrapText="1"/>
    </xf>
    <xf numFmtId="0" fontId="25" fillId="7" borderId="31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right" vertical="center" wrapText="1"/>
    </xf>
    <xf numFmtId="0" fontId="9" fillId="9" borderId="7" xfId="0" applyFont="1" applyFill="1" applyBorder="1" applyAlignment="1">
      <alignment horizontal="right" vertical="center" wrapText="1"/>
    </xf>
    <xf numFmtId="0" fontId="11" fillId="5" borderId="21" xfId="0" applyFont="1" applyFill="1" applyBorder="1" applyAlignment="1">
      <alignment horizontal="right" vertical="center"/>
    </xf>
    <xf numFmtId="0" fontId="11" fillId="5" borderId="22" xfId="0" applyFont="1" applyFill="1" applyBorder="1" applyAlignment="1">
      <alignment horizontal="right" vertical="center"/>
    </xf>
    <xf numFmtId="176" fontId="5" fillId="9" borderId="33" xfId="0" applyNumberFormat="1" applyFont="1" applyFill="1" applyBorder="1" applyAlignment="1">
      <alignment horizontal="center" vertical="center" wrapText="1"/>
    </xf>
    <xf numFmtId="176" fontId="5" fillId="9" borderId="30" xfId="0" applyNumberFormat="1" applyFont="1" applyFill="1" applyBorder="1" applyAlignment="1">
      <alignment horizontal="center" vertical="center" wrapText="1"/>
    </xf>
    <xf numFmtId="176" fontId="5" fillId="9" borderId="39" xfId="0" applyNumberFormat="1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12" borderId="37" xfId="0" applyFont="1" applyFill="1" applyBorder="1" applyAlignment="1">
      <alignment horizontal="center" vertical="center" wrapText="1"/>
    </xf>
    <xf numFmtId="0" fontId="3" fillId="12" borderId="35" xfId="0" applyFont="1" applyFill="1" applyBorder="1" applyAlignment="1">
      <alignment horizontal="center" vertical="center" wrapText="1"/>
    </xf>
    <xf numFmtId="0" fontId="3" fillId="12" borderId="3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47" xfId="0" applyFont="1" applyBorder="1" applyAlignment="1">
      <alignment horizontal="left" vertical="center"/>
    </xf>
    <xf numFmtId="0" fontId="6" fillId="0" borderId="4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1" fillId="5" borderId="34" xfId="0" applyFont="1" applyFill="1" applyBorder="1" applyAlignment="1">
      <alignment horizontal="right" vertical="center"/>
    </xf>
    <xf numFmtId="0" fontId="11" fillId="5" borderId="35" xfId="0" applyFont="1" applyFill="1" applyBorder="1" applyAlignment="1">
      <alignment horizontal="right" vertical="center"/>
    </xf>
    <xf numFmtId="0" fontId="11" fillId="5" borderId="36" xfId="0" applyFont="1" applyFill="1" applyBorder="1" applyAlignment="1">
      <alignment horizontal="right" vertical="center"/>
    </xf>
    <xf numFmtId="0" fontId="9" fillId="9" borderId="29" xfId="0" applyFont="1" applyFill="1" applyBorder="1" applyAlignment="1">
      <alignment horizontal="right" vertical="center" wrapText="1"/>
    </xf>
    <xf numFmtId="0" fontId="9" fillId="9" borderId="30" xfId="0" applyFont="1" applyFill="1" applyBorder="1" applyAlignment="1">
      <alignment horizontal="right" vertical="center" wrapText="1"/>
    </xf>
    <xf numFmtId="0" fontId="9" fillId="9" borderId="31" xfId="0" applyFont="1" applyFill="1" applyBorder="1" applyAlignment="1">
      <alignment horizontal="right" vertical="center" wrapText="1"/>
    </xf>
    <xf numFmtId="0" fontId="7" fillId="4" borderId="16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179" fontId="11" fillId="10" borderId="51" xfId="0" applyNumberFormat="1" applyFont="1" applyFill="1" applyBorder="1" applyAlignment="1">
      <alignment horizontal="center" vertical="center"/>
    </xf>
    <xf numFmtId="179" fontId="11" fillId="10" borderId="13" xfId="0" applyNumberFormat="1" applyFont="1" applyFill="1" applyBorder="1" applyAlignment="1">
      <alignment horizontal="center" vertical="center"/>
    </xf>
    <xf numFmtId="179" fontId="11" fillId="10" borderId="52" xfId="0" applyNumberFormat="1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right" vertical="center"/>
    </xf>
    <xf numFmtId="0" fontId="11" fillId="10" borderId="22" xfId="0" applyFont="1" applyFill="1" applyBorder="1" applyAlignment="1">
      <alignment horizontal="right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horizontal="right" vertical="center"/>
    </xf>
    <xf numFmtId="179" fontId="11" fillId="10" borderId="22" xfId="0" applyNumberFormat="1" applyFont="1" applyFill="1" applyBorder="1" applyAlignment="1">
      <alignment horizontal="center" vertical="center"/>
    </xf>
    <xf numFmtId="179" fontId="11" fillId="10" borderId="23" xfId="0" applyNumberFormat="1" applyFont="1" applyFill="1" applyBorder="1" applyAlignment="1">
      <alignment horizontal="center" vertical="center"/>
    </xf>
    <xf numFmtId="179" fontId="11" fillId="11" borderId="1" xfId="0" applyNumberFormat="1" applyFont="1" applyFill="1" applyBorder="1" applyAlignment="1">
      <alignment horizontal="center" vertical="center"/>
    </xf>
    <xf numFmtId="179" fontId="11" fillId="11" borderId="5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11" fillId="10" borderId="44" xfId="0" applyFont="1" applyFill="1" applyBorder="1" applyAlignment="1">
      <alignment horizontal="right" vertical="center"/>
    </xf>
    <xf numFmtId="0" fontId="11" fillId="10" borderId="13" xfId="0" applyFont="1" applyFill="1" applyBorder="1" applyAlignment="1">
      <alignment horizontal="right" vertical="center"/>
    </xf>
    <xf numFmtId="0" fontId="11" fillId="10" borderId="45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 wrapText="1"/>
    </xf>
    <xf numFmtId="178" fontId="1" fillId="0" borderId="10" xfId="0" applyNumberFormat="1" applyFont="1" applyFill="1" applyBorder="1" applyAlignment="1">
      <alignment horizontal="center" vertical="center" wrapText="1"/>
    </xf>
    <xf numFmtId="178" fontId="1" fillId="0" borderId="53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center" vertical="center" wrapText="1"/>
    </xf>
    <xf numFmtId="3" fontId="3" fillId="0" borderId="10" xfId="0" applyNumberFormat="1" applyFont="1" applyFill="1" applyBorder="1" applyAlignment="1">
      <alignment horizontal="center" vertical="center" wrapText="1"/>
    </xf>
    <xf numFmtId="3" fontId="3" fillId="0" borderId="53" xfId="0" applyNumberFormat="1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3" fillId="7" borderId="42" xfId="0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11" fillId="11" borderId="34" xfId="0" applyFont="1" applyFill="1" applyBorder="1" applyAlignment="1">
      <alignment horizontal="right" vertical="center"/>
    </xf>
    <xf numFmtId="0" fontId="11" fillId="11" borderId="35" xfId="0" applyFont="1" applyFill="1" applyBorder="1" applyAlignment="1">
      <alignment horizontal="right" vertical="center"/>
    </xf>
    <xf numFmtId="0" fontId="11" fillId="11" borderId="36" xfId="0" applyFont="1" applyFill="1" applyBorder="1" applyAlignment="1">
      <alignment horizontal="right" vertical="center"/>
    </xf>
    <xf numFmtId="0" fontId="16" fillId="9" borderId="29" xfId="0" applyFont="1" applyFill="1" applyBorder="1" applyAlignment="1">
      <alignment horizontal="right" vertical="center" wrapText="1"/>
    </xf>
    <xf numFmtId="0" fontId="16" fillId="9" borderId="30" xfId="0" applyFont="1" applyFill="1" applyBorder="1" applyAlignment="1">
      <alignment horizontal="right" vertical="center" wrapText="1"/>
    </xf>
    <xf numFmtId="0" fontId="16" fillId="9" borderId="31" xfId="0" applyFont="1" applyFill="1" applyBorder="1" applyAlignment="1">
      <alignment horizontal="right" vertical="center" wrapText="1"/>
    </xf>
    <xf numFmtId="179" fontId="11" fillId="11" borderId="37" xfId="0" applyNumberFormat="1" applyFont="1" applyFill="1" applyBorder="1" applyAlignment="1">
      <alignment horizontal="center" vertical="center"/>
    </xf>
    <xf numFmtId="179" fontId="11" fillId="11" borderId="35" xfId="0" applyNumberFormat="1" applyFont="1" applyFill="1" applyBorder="1" applyAlignment="1">
      <alignment horizontal="center" vertical="center"/>
    </xf>
    <xf numFmtId="179" fontId="11" fillId="11" borderId="38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20" fillId="4" borderId="33" xfId="0" applyFont="1" applyFill="1" applyBorder="1" applyAlignment="1">
      <alignment horizontal="center" vertical="center" wrapText="1"/>
    </xf>
    <xf numFmtId="0" fontId="20" fillId="4" borderId="30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E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"/>
  <sheetViews>
    <sheetView zoomScale="85" zoomScaleNormal="85" workbookViewId="0">
      <selection activeCell="F10" sqref="F10"/>
    </sheetView>
  </sheetViews>
  <sheetFormatPr defaultColWidth="8.90625" defaultRowHeight="15.5"/>
  <cols>
    <col min="1" max="10" width="15.90625" style="9" customWidth="1"/>
    <col min="11" max="11" width="22.08984375" style="9" bestFit="1" customWidth="1"/>
    <col min="12" max="16384" width="8.90625" style="9"/>
  </cols>
  <sheetData>
    <row r="1" spans="1:11" ht="25" customHeight="1">
      <c r="A1" s="236" t="s">
        <v>3</v>
      </c>
      <c r="B1" s="237"/>
      <c r="C1" s="19" t="s">
        <v>4</v>
      </c>
      <c r="D1" s="19" t="s">
        <v>8</v>
      </c>
      <c r="E1" s="19" t="s">
        <v>7</v>
      </c>
      <c r="F1" s="19" t="s">
        <v>22</v>
      </c>
      <c r="G1" s="19" t="s">
        <v>9</v>
      </c>
      <c r="H1" s="20" t="s">
        <v>23</v>
      </c>
      <c r="I1" s="21" t="s">
        <v>24</v>
      </c>
      <c r="J1" s="22" t="s">
        <v>5</v>
      </c>
      <c r="K1" s="64"/>
    </row>
    <row r="2" spans="1:11" ht="25" customHeight="1">
      <c r="A2" s="31" t="s">
        <v>11</v>
      </c>
      <c r="B2" s="32" t="s">
        <v>12</v>
      </c>
      <c r="C2" s="32" t="s">
        <v>13</v>
      </c>
      <c r="D2" s="33">
        <v>100000</v>
      </c>
      <c r="E2" s="32" t="s">
        <v>14</v>
      </c>
      <c r="F2" s="33">
        <v>460000</v>
      </c>
      <c r="G2" s="32" t="s">
        <v>14</v>
      </c>
      <c r="H2" s="32" t="s">
        <v>14</v>
      </c>
      <c r="I2" s="32" t="s">
        <v>14</v>
      </c>
      <c r="J2" s="25">
        <f t="shared" ref="J2:J6" si="0">SUM(F2:I2)</f>
        <v>460000</v>
      </c>
    </row>
    <row r="3" spans="1:11" ht="25" customHeight="1">
      <c r="A3" s="31" t="s">
        <v>6</v>
      </c>
      <c r="B3" s="34" t="s">
        <v>0</v>
      </c>
      <c r="C3" s="30">
        <v>43577</v>
      </c>
      <c r="D3" s="33">
        <v>38000</v>
      </c>
      <c r="E3" s="34">
        <v>1714</v>
      </c>
      <c r="F3" s="33">
        <v>38000</v>
      </c>
      <c r="G3" s="33">
        <v>53975</v>
      </c>
      <c r="H3" s="33" t="s">
        <v>44</v>
      </c>
      <c r="I3" s="32" t="s">
        <v>48</v>
      </c>
      <c r="J3" s="25">
        <f t="shared" si="0"/>
        <v>91975</v>
      </c>
      <c r="K3" s="64"/>
    </row>
    <row r="4" spans="1:11" ht="25" customHeight="1">
      <c r="A4" s="35" t="s">
        <v>1</v>
      </c>
      <c r="B4" s="36" t="s">
        <v>2</v>
      </c>
      <c r="C4" s="30">
        <v>43822</v>
      </c>
      <c r="D4" s="33">
        <v>39000</v>
      </c>
      <c r="E4" s="34">
        <v>1469</v>
      </c>
      <c r="F4" s="33">
        <v>39000</v>
      </c>
      <c r="G4" s="61">
        <v>141323</v>
      </c>
      <c r="H4" s="33" t="s">
        <v>44</v>
      </c>
      <c r="I4" s="33" t="s">
        <v>44</v>
      </c>
      <c r="J4" s="25">
        <f t="shared" si="0"/>
        <v>180323</v>
      </c>
      <c r="K4" s="64"/>
    </row>
    <row r="5" spans="1:11" ht="25" customHeight="1">
      <c r="A5" s="29" t="s">
        <v>29</v>
      </c>
      <c r="B5" s="34" t="s">
        <v>30</v>
      </c>
      <c r="C5" s="30">
        <v>44874</v>
      </c>
      <c r="D5" s="33">
        <v>35000</v>
      </c>
      <c r="E5" s="27">
        <v>417</v>
      </c>
      <c r="F5" s="33">
        <v>35000</v>
      </c>
      <c r="G5" s="38">
        <v>154945</v>
      </c>
      <c r="H5" s="33" t="s">
        <v>44</v>
      </c>
      <c r="I5" s="33" t="s">
        <v>44</v>
      </c>
      <c r="J5" s="25">
        <f t="shared" si="0"/>
        <v>189945</v>
      </c>
    </row>
    <row r="6" spans="1:11" ht="25" customHeight="1" thickBot="1">
      <c r="A6" s="14" t="s">
        <v>138</v>
      </c>
      <c r="B6" s="13" t="s">
        <v>139</v>
      </c>
      <c r="C6" s="30">
        <v>45201</v>
      </c>
      <c r="D6" s="15">
        <v>31000</v>
      </c>
      <c r="E6" s="37">
        <v>90</v>
      </c>
      <c r="F6" s="38">
        <v>7644</v>
      </c>
      <c r="G6" s="38" t="s">
        <v>255</v>
      </c>
      <c r="H6" s="33" t="s">
        <v>44</v>
      </c>
      <c r="I6" s="33">
        <v>3000</v>
      </c>
      <c r="J6" s="25">
        <f t="shared" si="0"/>
        <v>10644</v>
      </c>
    </row>
    <row r="7" spans="1:11" ht="25" customHeight="1" thickBot="1">
      <c r="A7" s="238" t="s">
        <v>25</v>
      </c>
      <c r="B7" s="239"/>
      <c r="C7" s="239"/>
      <c r="D7" s="239"/>
      <c r="E7" s="239"/>
      <c r="F7" s="239"/>
      <c r="G7" s="239"/>
      <c r="H7" s="239"/>
      <c r="I7" s="240"/>
      <c r="J7" s="54">
        <f>SUM(J2:J6)</f>
        <v>932887</v>
      </c>
    </row>
    <row r="8" spans="1:11" ht="25" customHeight="1"/>
    <row r="9" spans="1:11" ht="25" customHeight="1"/>
  </sheetData>
  <mergeCells count="2">
    <mergeCell ref="A1:B1"/>
    <mergeCell ref="A7:I7"/>
  </mergeCells>
  <phoneticPr fontId="2" type="noConversion"/>
  <pageMargins left="0.7" right="0.7" top="0.75" bottom="0.75" header="0.3" footer="0.3"/>
  <pageSetup paperSize="9" orientation="portrait" r:id="rId1"/>
  <ignoredErrors>
    <ignoredError sqref="J3 J4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zoomScale="70" zoomScaleNormal="70" workbookViewId="0">
      <pane ySplit="5" topLeftCell="A6" activePane="bottomLeft" state="frozen"/>
      <selection pane="bottomLeft" activeCell="E2" sqref="E2"/>
    </sheetView>
  </sheetViews>
  <sheetFormatPr defaultColWidth="8.90625" defaultRowHeight="15.5"/>
  <cols>
    <col min="1" max="10" width="15.90625" style="9" customWidth="1"/>
    <col min="11" max="11" width="15.90625" style="1" customWidth="1"/>
    <col min="12" max="12" width="20" style="1" customWidth="1"/>
    <col min="13" max="16" width="15.90625" style="1" customWidth="1"/>
    <col min="17" max="16384" width="8.90625" style="1"/>
  </cols>
  <sheetData>
    <row r="1" spans="1:15" s="9" customFormat="1" ht="25" customHeight="1">
      <c r="A1" s="11" t="s">
        <v>26</v>
      </c>
      <c r="B1" s="12" t="s">
        <v>4</v>
      </c>
      <c r="C1" s="12" t="s">
        <v>8</v>
      </c>
      <c r="D1" s="12" t="s">
        <v>7</v>
      </c>
      <c r="E1" s="12" t="s">
        <v>22</v>
      </c>
      <c r="F1" s="20" t="s">
        <v>28</v>
      </c>
      <c r="G1" s="20" t="s">
        <v>23</v>
      </c>
      <c r="H1" s="21" t="s">
        <v>24</v>
      </c>
      <c r="I1" s="10" t="s">
        <v>5</v>
      </c>
    </row>
    <row r="2" spans="1:15" s="9" customFormat="1" ht="25" customHeight="1" thickBot="1">
      <c r="A2" s="41" t="s">
        <v>6</v>
      </c>
      <c r="B2" s="39">
        <v>43577</v>
      </c>
      <c r="C2" s="42">
        <v>38000</v>
      </c>
      <c r="D2" s="40">
        <v>1349</v>
      </c>
      <c r="E2" s="2">
        <v>38000</v>
      </c>
      <c r="F2" s="2">
        <f>I32</f>
        <v>53975</v>
      </c>
      <c r="G2" s="2">
        <v>0</v>
      </c>
      <c r="H2" s="2">
        <v>0</v>
      </c>
      <c r="I2" s="3">
        <f>E2+F2+G2+H2</f>
        <v>91975</v>
      </c>
    </row>
    <row r="3" spans="1:15" ht="25" customHeight="1" thickBot="1">
      <c r="H3" s="8"/>
      <c r="I3" s="8"/>
      <c r="J3" s="6"/>
      <c r="K3" s="9"/>
      <c r="L3" s="9"/>
    </row>
    <row r="4" spans="1:15" ht="25" customHeight="1">
      <c r="A4" s="241" t="s">
        <v>136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3"/>
    </row>
    <row r="5" spans="1:15" ht="25" customHeight="1" thickBot="1">
      <c r="A5" s="59" t="s">
        <v>15</v>
      </c>
      <c r="B5" s="60" t="s">
        <v>16</v>
      </c>
      <c r="C5" s="253" t="s">
        <v>17</v>
      </c>
      <c r="D5" s="254"/>
      <c r="E5" s="255"/>
      <c r="F5" s="60" t="s">
        <v>18</v>
      </c>
      <c r="G5" s="60" t="s">
        <v>19</v>
      </c>
      <c r="H5" s="60" t="s">
        <v>20</v>
      </c>
      <c r="I5" s="142" t="s">
        <v>57</v>
      </c>
      <c r="J5" s="142" t="s">
        <v>21</v>
      </c>
      <c r="K5" s="142" t="s">
        <v>140</v>
      </c>
      <c r="L5" s="143" t="s">
        <v>241</v>
      </c>
      <c r="N5" s="142" t="s">
        <v>250</v>
      </c>
      <c r="O5" s="142" t="s">
        <v>251</v>
      </c>
    </row>
    <row r="6" spans="1:15" ht="25" customHeight="1">
      <c r="A6" s="247" t="s">
        <v>141</v>
      </c>
      <c r="B6" s="48" t="s">
        <v>142</v>
      </c>
      <c r="C6" s="250" t="s">
        <v>143</v>
      </c>
      <c r="D6" s="251"/>
      <c r="E6" s="252"/>
      <c r="F6" s="49">
        <v>45322</v>
      </c>
      <c r="G6" s="50" t="s">
        <v>0</v>
      </c>
      <c r="H6" s="128">
        <v>29105</v>
      </c>
      <c r="I6" s="133"/>
      <c r="J6" s="133"/>
      <c r="K6" s="144"/>
      <c r="L6" s="145">
        <v>500</v>
      </c>
      <c r="N6" s="218">
        <v>5846</v>
      </c>
      <c r="O6" s="219">
        <v>-1430</v>
      </c>
    </row>
    <row r="7" spans="1:15" ht="25" customHeight="1">
      <c r="A7" s="248"/>
      <c r="B7" s="79" t="s">
        <v>144</v>
      </c>
      <c r="C7" s="256" t="s">
        <v>145</v>
      </c>
      <c r="D7" s="257"/>
      <c r="E7" s="258"/>
      <c r="F7" s="80">
        <v>45306</v>
      </c>
      <c r="G7" s="76" t="s">
        <v>146</v>
      </c>
      <c r="H7" s="163">
        <v>111067</v>
      </c>
      <c r="I7" s="131"/>
      <c r="J7" s="131"/>
      <c r="K7" s="146"/>
      <c r="L7" s="147">
        <v>500</v>
      </c>
      <c r="N7" s="218">
        <v>49154</v>
      </c>
      <c r="O7" s="218">
        <v>21387</v>
      </c>
    </row>
    <row r="8" spans="1:15" ht="31">
      <c r="A8" s="248"/>
      <c r="B8" s="79" t="s">
        <v>61</v>
      </c>
      <c r="C8" s="256" t="s">
        <v>62</v>
      </c>
      <c r="D8" s="257"/>
      <c r="E8" s="258"/>
      <c r="F8" s="76" t="s">
        <v>63</v>
      </c>
      <c r="G8" s="76" t="s">
        <v>64</v>
      </c>
      <c r="H8" s="163">
        <v>6318669</v>
      </c>
      <c r="I8" s="131"/>
      <c r="J8" s="131"/>
      <c r="K8" s="146"/>
      <c r="L8" s="147">
        <v>8000</v>
      </c>
      <c r="N8" s="218">
        <v>2068930</v>
      </c>
      <c r="O8" s="218">
        <v>489263</v>
      </c>
    </row>
    <row r="9" spans="1:15" ht="25" customHeight="1">
      <c r="A9" s="248"/>
      <c r="B9" s="79" t="s">
        <v>147</v>
      </c>
      <c r="C9" s="244" t="s">
        <v>148</v>
      </c>
      <c r="D9" s="245"/>
      <c r="E9" s="246"/>
      <c r="F9" s="80">
        <v>45350</v>
      </c>
      <c r="G9" s="76" t="s">
        <v>0</v>
      </c>
      <c r="H9" s="163">
        <v>37863</v>
      </c>
      <c r="I9" s="131"/>
      <c r="J9" s="131"/>
      <c r="K9" s="146"/>
      <c r="L9" s="147">
        <v>500</v>
      </c>
      <c r="N9" s="218">
        <v>7127</v>
      </c>
      <c r="O9" s="219">
        <v>-2339</v>
      </c>
    </row>
    <row r="10" spans="1:15" ht="25" customHeight="1">
      <c r="A10" s="248"/>
      <c r="B10" s="79" t="s">
        <v>66</v>
      </c>
      <c r="C10" s="244" t="s">
        <v>67</v>
      </c>
      <c r="D10" s="245"/>
      <c r="E10" s="246"/>
      <c r="F10" s="80">
        <v>45332</v>
      </c>
      <c r="G10" s="76" t="s">
        <v>39</v>
      </c>
      <c r="H10" s="163">
        <v>3163</v>
      </c>
      <c r="I10" s="131"/>
      <c r="J10" s="131"/>
      <c r="K10" s="146"/>
      <c r="L10" s="147">
        <v>300</v>
      </c>
      <c r="N10" s="218">
        <v>2319</v>
      </c>
      <c r="O10" s="218">
        <v>1528</v>
      </c>
    </row>
    <row r="11" spans="1:15" ht="25" customHeight="1">
      <c r="A11" s="248"/>
      <c r="B11" s="79" t="s">
        <v>149</v>
      </c>
      <c r="C11" s="244" t="s">
        <v>150</v>
      </c>
      <c r="D11" s="245"/>
      <c r="E11" s="246"/>
      <c r="F11" s="80">
        <v>45382</v>
      </c>
      <c r="G11" s="76" t="s">
        <v>0</v>
      </c>
      <c r="H11" s="163">
        <v>40079</v>
      </c>
      <c r="I11" s="131"/>
      <c r="J11" s="131"/>
      <c r="K11" s="146"/>
      <c r="L11" s="147">
        <v>500</v>
      </c>
      <c r="N11" s="218">
        <v>7562</v>
      </c>
      <c r="O11" s="219">
        <v>-2458</v>
      </c>
    </row>
    <row r="12" spans="1:15" ht="25" customHeight="1">
      <c r="A12" s="248"/>
      <c r="B12" s="79" t="s">
        <v>151</v>
      </c>
      <c r="C12" s="244" t="s">
        <v>152</v>
      </c>
      <c r="D12" s="245"/>
      <c r="E12" s="246"/>
      <c r="F12" s="80">
        <v>45412</v>
      </c>
      <c r="G12" s="76" t="s">
        <v>0</v>
      </c>
      <c r="H12" s="163">
        <v>31235</v>
      </c>
      <c r="I12" s="131"/>
      <c r="J12" s="131"/>
      <c r="K12" s="146"/>
      <c r="L12" s="147">
        <v>500</v>
      </c>
      <c r="N12" s="218">
        <v>6148</v>
      </c>
      <c r="O12" s="219">
        <v>-1661</v>
      </c>
    </row>
    <row r="13" spans="1:15" ht="25" customHeight="1">
      <c r="A13" s="248"/>
      <c r="B13" s="79" t="s">
        <v>153</v>
      </c>
      <c r="C13" s="244" t="s">
        <v>154</v>
      </c>
      <c r="D13" s="245"/>
      <c r="E13" s="246"/>
      <c r="F13" s="80">
        <v>45443</v>
      </c>
      <c r="G13" s="76" t="s">
        <v>0</v>
      </c>
      <c r="H13" s="163">
        <v>40780</v>
      </c>
      <c r="I13" s="131"/>
      <c r="J13" s="131"/>
      <c r="K13" s="146"/>
      <c r="L13" s="147">
        <v>500</v>
      </c>
      <c r="N13" s="218">
        <v>7595</v>
      </c>
      <c r="O13" s="219">
        <v>-2600</v>
      </c>
    </row>
    <row r="14" spans="1:15" ht="25" customHeight="1">
      <c r="A14" s="248"/>
      <c r="B14" s="79" t="s">
        <v>155</v>
      </c>
      <c r="C14" s="244" t="s">
        <v>156</v>
      </c>
      <c r="D14" s="245"/>
      <c r="E14" s="246"/>
      <c r="F14" s="80">
        <v>45473</v>
      </c>
      <c r="G14" s="76" t="s">
        <v>0</v>
      </c>
      <c r="H14" s="163">
        <v>37035</v>
      </c>
      <c r="I14" s="131"/>
      <c r="J14" s="131"/>
      <c r="K14" s="146"/>
      <c r="L14" s="147">
        <v>500</v>
      </c>
      <c r="N14" s="218">
        <v>7010</v>
      </c>
      <c r="O14" s="219">
        <v>-2249</v>
      </c>
    </row>
    <row r="15" spans="1:15" ht="25" customHeight="1">
      <c r="A15" s="248"/>
      <c r="B15" s="79" t="s">
        <v>157</v>
      </c>
      <c r="C15" s="244" t="s">
        <v>158</v>
      </c>
      <c r="D15" s="245"/>
      <c r="E15" s="246"/>
      <c r="F15" s="80">
        <v>45504</v>
      </c>
      <c r="G15" s="76" t="s">
        <v>0</v>
      </c>
      <c r="H15" s="163">
        <v>33326</v>
      </c>
      <c r="I15" s="131"/>
      <c r="J15" s="131"/>
      <c r="K15" s="146"/>
      <c r="L15" s="147">
        <v>500</v>
      </c>
      <c r="N15" s="218">
        <v>6500</v>
      </c>
      <c r="O15" s="219">
        <v>-1832</v>
      </c>
    </row>
    <row r="16" spans="1:15" ht="25" customHeight="1">
      <c r="A16" s="248"/>
      <c r="B16" s="79" t="s">
        <v>159</v>
      </c>
      <c r="C16" s="244" t="s">
        <v>160</v>
      </c>
      <c r="D16" s="245"/>
      <c r="E16" s="246"/>
      <c r="F16" s="80">
        <v>45535</v>
      </c>
      <c r="G16" s="76" t="s">
        <v>0</v>
      </c>
      <c r="H16" s="163">
        <v>40159</v>
      </c>
      <c r="I16" s="131"/>
      <c r="J16" s="131"/>
      <c r="K16" s="146"/>
      <c r="L16" s="147">
        <v>500</v>
      </c>
      <c r="N16" s="218">
        <v>7514</v>
      </c>
      <c r="O16" s="219">
        <v>-2526</v>
      </c>
    </row>
    <row r="17" spans="1:15" ht="25" customHeight="1">
      <c r="A17" s="248"/>
      <c r="B17" s="79" t="s">
        <v>161</v>
      </c>
      <c r="C17" s="244" t="s">
        <v>162</v>
      </c>
      <c r="D17" s="245"/>
      <c r="E17" s="246"/>
      <c r="F17" s="80">
        <v>45565</v>
      </c>
      <c r="G17" s="76" t="s">
        <v>0</v>
      </c>
      <c r="H17" s="163">
        <v>35189</v>
      </c>
      <c r="I17" s="131"/>
      <c r="J17" s="131"/>
      <c r="K17" s="146"/>
      <c r="L17" s="147">
        <v>500</v>
      </c>
      <c r="N17" s="218">
        <v>6743</v>
      </c>
      <c r="O17" s="219">
        <v>-2054</v>
      </c>
    </row>
    <row r="18" spans="1:15" ht="25" customHeight="1">
      <c r="A18" s="248"/>
      <c r="B18" s="79" t="s">
        <v>163</v>
      </c>
      <c r="C18" s="244" t="s">
        <v>164</v>
      </c>
      <c r="D18" s="245"/>
      <c r="E18" s="246"/>
      <c r="F18" s="80">
        <v>45596</v>
      </c>
      <c r="G18" s="76" t="s">
        <v>0</v>
      </c>
      <c r="H18" s="163">
        <v>31314</v>
      </c>
      <c r="I18" s="131"/>
      <c r="J18" s="131"/>
      <c r="K18" s="146"/>
      <c r="L18" s="147">
        <v>500</v>
      </c>
      <c r="N18" s="218">
        <v>6185</v>
      </c>
      <c r="O18" s="219">
        <v>-1644</v>
      </c>
    </row>
    <row r="19" spans="1:15" ht="25" customHeight="1">
      <c r="A19" s="248"/>
      <c r="B19" s="79" t="s">
        <v>165</v>
      </c>
      <c r="C19" s="244" t="s">
        <v>166</v>
      </c>
      <c r="D19" s="245"/>
      <c r="E19" s="246"/>
      <c r="F19" s="80">
        <v>45626</v>
      </c>
      <c r="G19" s="76" t="s">
        <v>0</v>
      </c>
      <c r="H19" s="163">
        <v>35292</v>
      </c>
      <c r="I19" s="131"/>
      <c r="J19" s="131"/>
      <c r="K19" s="146"/>
      <c r="L19" s="147">
        <v>500</v>
      </c>
      <c r="M19" s="183"/>
      <c r="N19" s="218">
        <v>6756</v>
      </c>
      <c r="O19" s="219">
        <v>-2067</v>
      </c>
    </row>
    <row r="20" spans="1:15" ht="25" customHeight="1" thickBot="1">
      <c r="A20" s="249"/>
      <c r="B20" s="148" t="s">
        <v>167</v>
      </c>
      <c r="C20" s="267" t="s">
        <v>168</v>
      </c>
      <c r="D20" s="268"/>
      <c r="E20" s="269"/>
      <c r="F20" s="149">
        <v>45657</v>
      </c>
      <c r="G20" s="52" t="s">
        <v>0</v>
      </c>
      <c r="H20" s="164">
        <v>26311</v>
      </c>
      <c r="I20" s="132"/>
      <c r="J20" s="132"/>
      <c r="K20" s="150"/>
      <c r="L20" s="151">
        <v>500</v>
      </c>
      <c r="N20" s="218">
        <v>5482</v>
      </c>
      <c r="O20" s="219">
        <v>-1096</v>
      </c>
    </row>
    <row r="21" spans="1:15" ht="25" customHeight="1">
      <c r="A21" s="264" t="s">
        <v>249</v>
      </c>
      <c r="B21" s="74" t="s">
        <v>91</v>
      </c>
      <c r="C21" s="270" t="s">
        <v>92</v>
      </c>
      <c r="D21" s="271"/>
      <c r="E21" s="272"/>
      <c r="F21" s="28">
        <v>45519</v>
      </c>
      <c r="G21" s="77" t="s">
        <v>42</v>
      </c>
      <c r="H21" s="75">
        <v>352381</v>
      </c>
      <c r="I21" s="51"/>
      <c r="J21" s="131"/>
      <c r="K21" s="146"/>
      <c r="L21" s="121">
        <v>1500</v>
      </c>
      <c r="N21" s="78">
        <v>178855</v>
      </c>
      <c r="O21" s="78">
        <v>90760</v>
      </c>
    </row>
    <row r="22" spans="1:15" ht="25" customHeight="1">
      <c r="A22" s="265"/>
      <c r="B22" s="259" t="s">
        <v>185</v>
      </c>
      <c r="C22" s="273" t="s">
        <v>97</v>
      </c>
      <c r="D22" s="274"/>
      <c r="E22" s="275"/>
      <c r="F22" s="129" t="s">
        <v>98</v>
      </c>
      <c r="G22" s="129" t="s">
        <v>99</v>
      </c>
      <c r="H22" s="78">
        <v>5578141</v>
      </c>
      <c r="I22" s="51"/>
      <c r="J22" s="131"/>
      <c r="K22" s="146"/>
      <c r="L22" s="121">
        <v>10000</v>
      </c>
      <c r="N22" s="78">
        <v>2579789</v>
      </c>
      <c r="O22" s="78">
        <v>1185254</v>
      </c>
    </row>
    <row r="23" spans="1:15" ht="25" customHeight="1" thickBot="1">
      <c r="A23" s="266"/>
      <c r="B23" s="260"/>
      <c r="C23" s="276" t="s">
        <v>186</v>
      </c>
      <c r="D23" s="277"/>
      <c r="E23" s="278"/>
      <c r="F23" s="162">
        <v>45657</v>
      </c>
      <c r="G23" s="130" t="s">
        <v>0</v>
      </c>
      <c r="H23" s="127">
        <v>63400</v>
      </c>
      <c r="I23" s="134"/>
      <c r="J23" s="132"/>
      <c r="K23" s="150"/>
      <c r="L23" s="123">
        <v>3000</v>
      </c>
      <c r="N23" s="220">
        <v>-248703</v>
      </c>
      <c r="O23" s="220">
        <v>-264553</v>
      </c>
    </row>
    <row r="24" spans="1:15" ht="25" customHeight="1" thickBot="1">
      <c r="A24" s="152" t="s">
        <v>184</v>
      </c>
      <c r="B24" s="153" t="s">
        <v>127</v>
      </c>
      <c r="C24" s="261" t="s">
        <v>106</v>
      </c>
      <c r="D24" s="262"/>
      <c r="E24" s="263"/>
      <c r="F24" s="154">
        <v>45564</v>
      </c>
      <c r="G24" s="124" t="s">
        <v>0</v>
      </c>
      <c r="H24" s="155">
        <v>619048</v>
      </c>
      <c r="I24" s="135"/>
      <c r="J24" s="136"/>
      <c r="K24" s="156"/>
      <c r="L24" s="125">
        <v>3600</v>
      </c>
      <c r="N24" s="221">
        <v>334989</v>
      </c>
      <c r="O24" s="218">
        <v>180227</v>
      </c>
    </row>
    <row r="25" spans="1:15" ht="25" customHeight="1">
      <c r="A25" s="292" t="s">
        <v>183</v>
      </c>
      <c r="B25" s="69" t="s">
        <v>173</v>
      </c>
      <c r="C25" s="286" t="s">
        <v>169</v>
      </c>
      <c r="D25" s="287"/>
      <c r="E25" s="288"/>
      <c r="F25" s="157" t="s">
        <v>174</v>
      </c>
      <c r="G25" s="71" t="s">
        <v>0</v>
      </c>
      <c r="H25" s="73">
        <v>2892658</v>
      </c>
      <c r="I25" s="137"/>
      <c r="J25" s="138"/>
      <c r="K25" s="158"/>
      <c r="L25" s="122">
        <v>20000</v>
      </c>
      <c r="N25" s="221">
        <v>964219</v>
      </c>
      <c r="O25" s="218">
        <v>241055</v>
      </c>
    </row>
    <row r="26" spans="1:15" ht="25" customHeight="1">
      <c r="A26" s="248"/>
      <c r="B26" s="74" t="s">
        <v>175</v>
      </c>
      <c r="C26" s="289" t="s">
        <v>176</v>
      </c>
      <c r="D26" s="290"/>
      <c r="E26" s="291"/>
      <c r="F26" s="159" t="s">
        <v>177</v>
      </c>
      <c r="G26" s="77" t="s">
        <v>0</v>
      </c>
      <c r="H26" s="81">
        <v>45000</v>
      </c>
      <c r="I26" s="139"/>
      <c r="J26" s="131"/>
      <c r="K26" s="146"/>
      <c r="L26" s="126">
        <f t="shared" ref="L26" si="0">O26*0.1</f>
        <v>175</v>
      </c>
      <c r="N26" s="221">
        <v>13000</v>
      </c>
      <c r="O26" s="218">
        <v>1750</v>
      </c>
    </row>
    <row r="27" spans="1:15" ht="25" customHeight="1">
      <c r="A27" s="248"/>
      <c r="B27" s="74" t="s">
        <v>178</v>
      </c>
      <c r="C27" s="289" t="s">
        <v>43</v>
      </c>
      <c r="D27" s="290"/>
      <c r="E27" s="291"/>
      <c r="F27" s="159" t="s">
        <v>177</v>
      </c>
      <c r="G27" s="77" t="s">
        <v>0</v>
      </c>
      <c r="H27" s="81">
        <v>7500</v>
      </c>
      <c r="I27" s="139"/>
      <c r="J27" s="131"/>
      <c r="K27" s="146"/>
      <c r="L27" s="126">
        <v>100</v>
      </c>
      <c r="N27" s="221">
        <v>1202</v>
      </c>
      <c r="O27" s="222">
        <v>-673</v>
      </c>
    </row>
    <row r="28" spans="1:15" ht="25" customHeight="1">
      <c r="A28" s="248"/>
      <c r="B28" s="74" t="s">
        <v>179</v>
      </c>
      <c r="C28" s="270" t="s">
        <v>92</v>
      </c>
      <c r="D28" s="271"/>
      <c r="E28" s="272"/>
      <c r="F28" s="159" t="s">
        <v>180</v>
      </c>
      <c r="G28" s="77" t="s">
        <v>0</v>
      </c>
      <c r="H28" s="81">
        <v>11000</v>
      </c>
      <c r="I28" s="139"/>
      <c r="J28" s="131"/>
      <c r="K28" s="146"/>
      <c r="L28" s="126">
        <v>100</v>
      </c>
      <c r="N28" s="221">
        <v>1000</v>
      </c>
      <c r="O28" s="219">
        <v>-1750</v>
      </c>
    </row>
    <row r="29" spans="1:15" ht="25" customHeight="1">
      <c r="A29" s="248"/>
      <c r="B29" s="74" t="s">
        <v>181</v>
      </c>
      <c r="C29" s="270" t="s">
        <v>106</v>
      </c>
      <c r="D29" s="271"/>
      <c r="E29" s="272"/>
      <c r="F29" s="159" t="s">
        <v>180</v>
      </c>
      <c r="G29" s="77" t="s">
        <v>0</v>
      </c>
      <c r="H29" s="81">
        <v>50000</v>
      </c>
      <c r="I29" s="139"/>
      <c r="J29" s="131"/>
      <c r="K29" s="146"/>
      <c r="L29" s="126">
        <v>100</v>
      </c>
      <c r="N29" s="221">
        <v>6400</v>
      </c>
      <c r="O29" s="219">
        <v>-6100</v>
      </c>
    </row>
    <row r="30" spans="1:15" ht="25" customHeight="1" thickBot="1">
      <c r="A30" s="293"/>
      <c r="B30" s="68" t="s">
        <v>182</v>
      </c>
      <c r="C30" s="294" t="s">
        <v>107</v>
      </c>
      <c r="D30" s="295"/>
      <c r="E30" s="296"/>
      <c r="F30" s="160" t="s">
        <v>180</v>
      </c>
      <c r="G30" s="70" t="s">
        <v>0</v>
      </c>
      <c r="H30" s="72">
        <v>121654</v>
      </c>
      <c r="I30" s="140"/>
      <c r="J30" s="141"/>
      <c r="K30" s="161"/>
      <c r="L30" s="126">
        <v>600</v>
      </c>
      <c r="N30" s="221">
        <v>36654</v>
      </c>
      <c r="O30" s="218">
        <v>6241</v>
      </c>
    </row>
    <row r="31" spans="1:15" ht="25" customHeight="1">
      <c r="A31" s="281" t="s">
        <v>49</v>
      </c>
      <c r="B31" s="282"/>
      <c r="C31" s="282"/>
      <c r="D31" s="282"/>
      <c r="E31" s="282"/>
      <c r="F31" s="282"/>
      <c r="G31" s="282"/>
      <c r="H31" s="282"/>
      <c r="I31" s="223">
        <f>SUM(I6:I30)</f>
        <v>0</v>
      </c>
      <c r="J31" s="223">
        <f>SUM(J6:J30)</f>
        <v>0</v>
      </c>
      <c r="K31" s="223">
        <f>SUM(K6:K30)</f>
        <v>0</v>
      </c>
      <c r="L31" s="224">
        <f>SUM(L6:L30)</f>
        <v>53975</v>
      </c>
    </row>
    <row r="32" spans="1:15" ht="25" customHeight="1" thickBot="1">
      <c r="A32" s="279" t="s">
        <v>27</v>
      </c>
      <c r="B32" s="280"/>
      <c r="C32" s="280"/>
      <c r="D32" s="280"/>
      <c r="E32" s="280"/>
      <c r="F32" s="280"/>
      <c r="G32" s="280"/>
      <c r="H32" s="280"/>
      <c r="I32" s="283">
        <f>SUM(I31:L31)</f>
        <v>53975</v>
      </c>
      <c r="J32" s="284"/>
      <c r="K32" s="284"/>
      <c r="L32" s="285"/>
    </row>
    <row r="33" spans="6:12" ht="25" customHeight="1">
      <c r="H33" s="8"/>
      <c r="I33" s="8"/>
      <c r="J33" s="6"/>
      <c r="K33" s="9"/>
      <c r="L33" s="9"/>
    </row>
    <row r="34" spans="6:12" ht="25" customHeight="1">
      <c r="H34" s="8"/>
      <c r="I34" s="8"/>
      <c r="J34" s="6"/>
      <c r="K34" s="9"/>
      <c r="L34" s="9"/>
    </row>
    <row r="35" spans="6:12" ht="25" customHeight="1" thickBot="1">
      <c r="I35" s="4" t="s">
        <v>10</v>
      </c>
      <c r="J35" s="5"/>
      <c r="K35" s="5"/>
      <c r="L35" s="5"/>
    </row>
    <row r="36" spans="6:12" ht="25" customHeight="1">
      <c r="F36" s="8"/>
      <c r="G36" s="8"/>
      <c r="H36" s="6"/>
      <c r="J36" s="1"/>
    </row>
    <row r="37" spans="6:12" ht="25" customHeight="1">
      <c r="F37" s="1"/>
      <c r="G37" s="1"/>
    </row>
    <row r="38" spans="6:12" ht="25" customHeight="1"/>
    <row r="39" spans="6:12" ht="22" customHeight="1"/>
    <row r="40" spans="6:12" ht="22" customHeight="1"/>
    <row r="41" spans="6:12" ht="22" customHeight="1"/>
    <row r="42" spans="6:12" ht="22" customHeight="1"/>
    <row r="43" spans="6:12" ht="22" customHeight="1"/>
    <row r="44" spans="6:12" ht="22" customHeight="1"/>
    <row r="45" spans="6:12" ht="22" customHeight="1"/>
    <row r="46" spans="6:12" ht="22" customHeight="1"/>
    <row r="47" spans="6:12" ht="22" customHeight="1"/>
    <row r="48" spans="6:12" ht="22" customHeight="1"/>
    <row r="49" spans="3:10" ht="22" customHeight="1"/>
    <row r="50" spans="3:10" ht="22" customHeight="1"/>
    <row r="51" spans="3:10" ht="22" customHeight="1"/>
    <row r="52" spans="3:10" ht="22" customHeight="1"/>
    <row r="53" spans="3:10" ht="22" customHeight="1"/>
    <row r="54" spans="3:10" ht="22" customHeight="1"/>
    <row r="55" spans="3:10" ht="22" customHeight="1"/>
    <row r="56" spans="3:10" ht="22" customHeight="1"/>
    <row r="57" spans="3:10">
      <c r="C57" s="1"/>
      <c r="D57" s="1"/>
      <c r="E57" s="1"/>
      <c r="F57" s="1"/>
      <c r="G57" s="1"/>
      <c r="H57" s="1"/>
      <c r="I57" s="1"/>
      <c r="J57" s="1"/>
    </row>
    <row r="58" spans="3:10">
      <c r="C58" s="1"/>
      <c r="D58" s="1"/>
      <c r="E58" s="1"/>
      <c r="F58" s="1"/>
      <c r="G58" s="1"/>
      <c r="H58" s="1"/>
      <c r="I58" s="1"/>
      <c r="J58" s="1"/>
    </row>
  </sheetData>
  <mergeCells count="34">
    <mergeCell ref="A32:H32"/>
    <mergeCell ref="A31:H31"/>
    <mergeCell ref="I32:L32"/>
    <mergeCell ref="C25:E25"/>
    <mergeCell ref="C26:E26"/>
    <mergeCell ref="C27:E27"/>
    <mergeCell ref="C28:E28"/>
    <mergeCell ref="A25:A30"/>
    <mergeCell ref="C29:E29"/>
    <mergeCell ref="C30:E30"/>
    <mergeCell ref="B22:B23"/>
    <mergeCell ref="C17:E17"/>
    <mergeCell ref="C24:E24"/>
    <mergeCell ref="A21:A23"/>
    <mergeCell ref="C18:E18"/>
    <mergeCell ref="C19:E19"/>
    <mergeCell ref="C20:E20"/>
    <mergeCell ref="C21:E21"/>
    <mergeCell ref="C22:E22"/>
    <mergeCell ref="C23:E23"/>
    <mergeCell ref="A4:L4"/>
    <mergeCell ref="C13:E13"/>
    <mergeCell ref="C14:E14"/>
    <mergeCell ref="C16:E16"/>
    <mergeCell ref="C12:E12"/>
    <mergeCell ref="A6:A20"/>
    <mergeCell ref="C6:E6"/>
    <mergeCell ref="C5:E5"/>
    <mergeCell ref="C7:E7"/>
    <mergeCell ref="C8:E8"/>
    <mergeCell ref="C9:E9"/>
    <mergeCell ref="C10:E10"/>
    <mergeCell ref="C11:E11"/>
    <mergeCell ref="C15:E15"/>
  </mergeCells>
  <phoneticPr fontId="2" type="noConversion"/>
  <pageMargins left="0.23622047244094488" right="0.23622047244094488" top="0.51181102362204722" bottom="0.51181102362204722" header="0" footer="0"/>
  <pageSetup paperSize="9" scale="56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80"/>
  <sheetViews>
    <sheetView tabSelected="1" zoomScale="70" zoomScaleNormal="70" workbookViewId="0">
      <pane ySplit="5" topLeftCell="A29" activePane="bottomLeft" state="frozen"/>
      <selection pane="bottomLeft" activeCell="W22" sqref="W22"/>
    </sheetView>
  </sheetViews>
  <sheetFormatPr defaultColWidth="8.90625" defaultRowHeight="15.5"/>
  <cols>
    <col min="1" max="11" width="15.90625" style="9" customWidth="1"/>
    <col min="12" max="12" width="17.6328125" style="9" customWidth="1"/>
    <col min="13" max="13" width="19.26953125" style="9" bestFit="1" customWidth="1"/>
    <col min="14" max="15" width="15.90625" style="9" customWidth="1"/>
    <col min="16" max="16384" width="8.90625" style="9"/>
  </cols>
  <sheetData>
    <row r="1" spans="1:13" s="24" customFormat="1" ht="30" customHeight="1">
      <c r="A1" s="169" t="s">
        <v>31</v>
      </c>
      <c r="B1" s="170" t="s">
        <v>32</v>
      </c>
      <c r="C1" s="170" t="s">
        <v>33</v>
      </c>
      <c r="D1" s="170" t="s">
        <v>34</v>
      </c>
      <c r="E1" s="170" t="s">
        <v>35</v>
      </c>
      <c r="F1" s="170" t="s">
        <v>9</v>
      </c>
      <c r="G1" s="20" t="s">
        <v>36</v>
      </c>
      <c r="H1" s="21" t="s">
        <v>37</v>
      </c>
      <c r="I1" s="23" t="s">
        <v>38</v>
      </c>
    </row>
    <row r="2" spans="1:13" ht="30" customHeight="1" thickBot="1">
      <c r="A2" s="43" t="s">
        <v>29</v>
      </c>
      <c r="B2" s="39">
        <v>44874</v>
      </c>
      <c r="C2" s="2">
        <v>35000</v>
      </c>
      <c r="D2" s="40">
        <v>417</v>
      </c>
      <c r="E2" s="2">
        <v>35000</v>
      </c>
      <c r="F2" s="2">
        <f>H42-E2</f>
        <v>154944.5963</v>
      </c>
      <c r="G2" s="2" t="s">
        <v>44</v>
      </c>
      <c r="H2" s="2" t="s">
        <v>44</v>
      </c>
      <c r="I2" s="3">
        <f>SUM(E2:H2)</f>
        <v>189944.5963</v>
      </c>
    </row>
    <row r="3" spans="1:13" ht="30" customHeight="1" thickBot="1">
      <c r="A3" s="7"/>
      <c r="B3" s="7"/>
      <c r="C3" s="7"/>
      <c r="D3" s="7"/>
      <c r="E3" s="7"/>
      <c r="F3" s="8"/>
      <c r="G3" s="7"/>
      <c r="H3" s="8"/>
      <c r="I3" s="8"/>
      <c r="J3" s="6"/>
    </row>
    <row r="4" spans="1:13" ht="30" customHeight="1">
      <c r="A4" s="309" t="s">
        <v>216</v>
      </c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1"/>
    </row>
    <row r="5" spans="1:13" ht="30" customHeight="1" thickBot="1">
      <c r="A5" s="59" t="s">
        <v>15</v>
      </c>
      <c r="B5" s="60" t="s">
        <v>16</v>
      </c>
      <c r="C5" s="253" t="s">
        <v>17</v>
      </c>
      <c r="D5" s="254"/>
      <c r="E5" s="255"/>
      <c r="F5" s="60" t="s">
        <v>18</v>
      </c>
      <c r="G5" s="60" t="s">
        <v>19</v>
      </c>
      <c r="H5" s="60" t="s">
        <v>20</v>
      </c>
      <c r="I5" s="142" t="s">
        <v>57</v>
      </c>
      <c r="J5" s="142" t="s">
        <v>21</v>
      </c>
      <c r="K5" s="142" t="s">
        <v>140</v>
      </c>
      <c r="L5" s="143" t="s">
        <v>241</v>
      </c>
    </row>
    <row r="6" spans="1:13" ht="30" customHeight="1">
      <c r="A6" s="247" t="s">
        <v>82</v>
      </c>
      <c r="B6" s="48" t="s">
        <v>187</v>
      </c>
      <c r="C6" s="341" t="s">
        <v>188</v>
      </c>
      <c r="D6" s="342"/>
      <c r="E6" s="343"/>
      <c r="F6" s="49">
        <v>45294</v>
      </c>
      <c r="G6" s="50" t="s">
        <v>42</v>
      </c>
      <c r="H6" s="185">
        <v>12595</v>
      </c>
      <c r="I6" s="186" t="s">
        <v>222</v>
      </c>
      <c r="J6" s="186" t="s">
        <v>223</v>
      </c>
      <c r="K6" s="186" t="s">
        <v>223</v>
      </c>
      <c r="L6" s="187">
        <v>300</v>
      </c>
    </row>
    <row r="7" spans="1:13" ht="30" customHeight="1">
      <c r="A7" s="248"/>
      <c r="B7" s="173" t="s">
        <v>61</v>
      </c>
      <c r="C7" s="256" t="s">
        <v>217</v>
      </c>
      <c r="D7" s="257"/>
      <c r="E7" s="258"/>
      <c r="F7" s="76" t="s">
        <v>63</v>
      </c>
      <c r="G7" s="76" t="s">
        <v>64</v>
      </c>
      <c r="H7" s="81">
        <v>6318669</v>
      </c>
      <c r="I7" s="131">
        <v>14678</v>
      </c>
      <c r="J7" s="188" t="s">
        <v>223</v>
      </c>
      <c r="K7" s="188" t="s">
        <v>226</v>
      </c>
      <c r="L7" s="189" t="s">
        <v>223</v>
      </c>
    </row>
    <row r="8" spans="1:13" ht="30" customHeight="1">
      <c r="A8" s="248"/>
      <c r="B8" s="173" t="s">
        <v>70</v>
      </c>
      <c r="C8" s="256" t="s">
        <v>71</v>
      </c>
      <c r="D8" s="257"/>
      <c r="E8" s="258"/>
      <c r="F8" s="76" t="s">
        <v>72</v>
      </c>
      <c r="G8" s="76" t="s">
        <v>64</v>
      </c>
      <c r="H8" s="81">
        <v>219048</v>
      </c>
      <c r="I8" s="131">
        <v>1913</v>
      </c>
      <c r="J8" s="188" t="s">
        <v>224</v>
      </c>
      <c r="K8" s="188" t="s">
        <v>222</v>
      </c>
      <c r="L8" s="190" t="s">
        <v>228</v>
      </c>
    </row>
    <row r="9" spans="1:13" ht="30" customHeight="1">
      <c r="A9" s="248"/>
      <c r="B9" s="173" t="s">
        <v>189</v>
      </c>
      <c r="C9" s="256" t="s">
        <v>190</v>
      </c>
      <c r="D9" s="257"/>
      <c r="E9" s="258"/>
      <c r="F9" s="80">
        <v>45512</v>
      </c>
      <c r="G9" s="76" t="s">
        <v>191</v>
      </c>
      <c r="H9" s="81">
        <v>42570</v>
      </c>
      <c r="I9" s="191">
        <v>418</v>
      </c>
      <c r="J9" s="188" t="s">
        <v>225</v>
      </c>
      <c r="K9" s="188" t="s">
        <v>222</v>
      </c>
      <c r="L9" s="190" t="s">
        <v>226</v>
      </c>
    </row>
    <row r="10" spans="1:13" ht="30" customHeight="1">
      <c r="A10" s="248"/>
      <c r="B10" s="173" t="s">
        <v>192</v>
      </c>
      <c r="C10" s="256" t="s">
        <v>193</v>
      </c>
      <c r="D10" s="257"/>
      <c r="E10" s="258"/>
      <c r="F10" s="80">
        <v>45563</v>
      </c>
      <c r="G10" s="76" t="s">
        <v>194</v>
      </c>
      <c r="H10" s="81">
        <v>1927336</v>
      </c>
      <c r="I10" s="188" t="s">
        <v>226</v>
      </c>
      <c r="J10" s="131">
        <v>3288</v>
      </c>
      <c r="K10" s="188" t="s">
        <v>226</v>
      </c>
      <c r="L10" s="190" t="s">
        <v>224</v>
      </c>
      <c r="M10" s="9" t="s">
        <v>237</v>
      </c>
    </row>
    <row r="11" spans="1:13" ht="30" customHeight="1">
      <c r="A11" s="248"/>
      <c r="B11" s="173" t="s">
        <v>195</v>
      </c>
      <c r="C11" s="256" t="s">
        <v>196</v>
      </c>
      <c r="D11" s="257"/>
      <c r="E11" s="258"/>
      <c r="F11" s="80">
        <v>45588</v>
      </c>
      <c r="G11" s="76" t="s">
        <v>42</v>
      </c>
      <c r="H11" s="81">
        <v>225225</v>
      </c>
      <c r="I11" s="188" t="s">
        <v>223</v>
      </c>
      <c r="J11" s="131">
        <v>5084</v>
      </c>
      <c r="K11" s="188" t="s">
        <v>223</v>
      </c>
      <c r="L11" s="190" t="s">
        <v>222</v>
      </c>
      <c r="M11" s="9" t="s">
        <v>238</v>
      </c>
    </row>
    <row r="12" spans="1:13" ht="30" customHeight="1" thickBot="1">
      <c r="A12" s="293"/>
      <c r="B12" s="174" t="s">
        <v>79</v>
      </c>
      <c r="C12" s="338" t="s">
        <v>80</v>
      </c>
      <c r="D12" s="339"/>
      <c r="E12" s="340"/>
      <c r="F12" s="192">
        <v>45626</v>
      </c>
      <c r="G12" s="193" t="s">
        <v>81</v>
      </c>
      <c r="H12" s="72">
        <v>580952</v>
      </c>
      <c r="I12" s="194" t="s">
        <v>222</v>
      </c>
      <c r="J12" s="141">
        <f>9845-1000</f>
        <v>8845</v>
      </c>
      <c r="K12" s="194" t="s">
        <v>222</v>
      </c>
      <c r="L12" s="195" t="s">
        <v>222</v>
      </c>
      <c r="M12" s="9" t="s">
        <v>236</v>
      </c>
    </row>
    <row r="13" spans="1:13" ht="30" customHeight="1">
      <c r="A13" s="247" t="s">
        <v>215</v>
      </c>
      <c r="B13" s="196" t="s">
        <v>197</v>
      </c>
      <c r="C13" s="320" t="s">
        <v>198</v>
      </c>
      <c r="D13" s="320"/>
      <c r="E13" s="320"/>
      <c r="F13" s="197">
        <v>45337</v>
      </c>
      <c r="G13" s="198" t="s">
        <v>42</v>
      </c>
      <c r="H13" s="199">
        <v>62857</v>
      </c>
      <c r="I13" s="200">
        <v>499</v>
      </c>
      <c r="J13" s="201" t="s">
        <v>222</v>
      </c>
      <c r="K13" s="201" t="s">
        <v>222</v>
      </c>
      <c r="L13" s="202" t="s">
        <v>223</v>
      </c>
    </row>
    <row r="14" spans="1:13" ht="30" customHeight="1">
      <c r="A14" s="248"/>
      <c r="B14" s="171" t="s">
        <v>85</v>
      </c>
      <c r="C14" s="319" t="s">
        <v>86</v>
      </c>
      <c r="D14" s="319"/>
      <c r="E14" s="319"/>
      <c r="F14" s="28">
        <v>45359</v>
      </c>
      <c r="G14" s="77" t="s">
        <v>42</v>
      </c>
      <c r="H14" s="75">
        <v>292116</v>
      </c>
      <c r="I14" s="203">
        <v>2659</v>
      </c>
      <c r="J14" s="204" t="s">
        <v>223</v>
      </c>
      <c r="K14" s="204" t="s">
        <v>223</v>
      </c>
      <c r="L14" s="205" t="s">
        <v>222</v>
      </c>
    </row>
    <row r="15" spans="1:13" ht="30" customHeight="1">
      <c r="A15" s="248"/>
      <c r="B15" s="171" t="s">
        <v>199</v>
      </c>
      <c r="C15" s="319" t="s">
        <v>200</v>
      </c>
      <c r="D15" s="319"/>
      <c r="E15" s="319"/>
      <c r="F15" s="28">
        <v>45354</v>
      </c>
      <c r="G15" s="77" t="s">
        <v>42</v>
      </c>
      <c r="H15" s="75">
        <v>128571</v>
      </c>
      <c r="I15" s="203">
        <v>2119</v>
      </c>
      <c r="J15" s="204" t="s">
        <v>222</v>
      </c>
      <c r="K15" s="204" t="s">
        <v>222</v>
      </c>
      <c r="L15" s="205" t="s">
        <v>223</v>
      </c>
    </row>
    <row r="16" spans="1:13" ht="30" customHeight="1">
      <c r="A16" s="248"/>
      <c r="B16" s="171" t="s">
        <v>201</v>
      </c>
      <c r="C16" s="319" t="s">
        <v>202</v>
      </c>
      <c r="D16" s="319"/>
      <c r="E16" s="319"/>
      <c r="F16" s="77" t="s">
        <v>203</v>
      </c>
      <c r="G16" s="77" t="s">
        <v>42</v>
      </c>
      <c r="H16" s="75">
        <v>29599</v>
      </c>
      <c r="I16" s="206">
        <v>462</v>
      </c>
      <c r="J16" s="204" t="s">
        <v>222</v>
      </c>
      <c r="K16" s="204" t="s">
        <v>222</v>
      </c>
      <c r="L16" s="205" t="s">
        <v>226</v>
      </c>
    </row>
    <row r="17" spans="1:13" ht="30" customHeight="1">
      <c r="A17" s="248"/>
      <c r="B17" s="171" t="s">
        <v>204</v>
      </c>
      <c r="C17" s="319" t="s">
        <v>205</v>
      </c>
      <c r="D17" s="319"/>
      <c r="E17" s="319"/>
      <c r="F17" s="28">
        <v>45401</v>
      </c>
      <c r="G17" s="77" t="s">
        <v>42</v>
      </c>
      <c r="H17" s="75">
        <v>56952</v>
      </c>
      <c r="I17" s="206">
        <v>468</v>
      </c>
      <c r="J17" s="204" t="s">
        <v>222</v>
      </c>
      <c r="K17" s="204" t="s">
        <v>222</v>
      </c>
      <c r="L17" s="205" t="s">
        <v>223</v>
      </c>
    </row>
    <row r="18" spans="1:13" ht="30" customHeight="1">
      <c r="A18" s="248"/>
      <c r="B18" s="171" t="s">
        <v>87</v>
      </c>
      <c r="C18" s="319" t="s">
        <v>88</v>
      </c>
      <c r="D18" s="319"/>
      <c r="E18" s="319"/>
      <c r="F18" s="28">
        <v>45396</v>
      </c>
      <c r="G18" s="77" t="s">
        <v>42</v>
      </c>
      <c r="H18" s="75">
        <v>139048</v>
      </c>
      <c r="I18" s="203">
        <v>2241</v>
      </c>
      <c r="J18" s="204" t="s">
        <v>222</v>
      </c>
      <c r="K18" s="204" t="s">
        <v>222</v>
      </c>
      <c r="L18" s="205" t="s">
        <v>223</v>
      </c>
    </row>
    <row r="19" spans="1:13" ht="30" customHeight="1">
      <c r="A19" s="248"/>
      <c r="B19" s="171" t="s">
        <v>89</v>
      </c>
      <c r="C19" s="319" t="s">
        <v>90</v>
      </c>
      <c r="D19" s="319"/>
      <c r="E19" s="319"/>
      <c r="F19" s="28">
        <v>45408</v>
      </c>
      <c r="G19" s="77" t="s">
        <v>42</v>
      </c>
      <c r="H19" s="75">
        <v>619048</v>
      </c>
      <c r="I19" s="203">
        <v>2943</v>
      </c>
      <c r="J19" s="204" t="s">
        <v>226</v>
      </c>
      <c r="K19" s="204" t="s">
        <v>226</v>
      </c>
      <c r="L19" s="205" t="s">
        <v>222</v>
      </c>
    </row>
    <row r="20" spans="1:13" ht="30" customHeight="1">
      <c r="A20" s="248"/>
      <c r="B20" s="171" t="s">
        <v>91</v>
      </c>
      <c r="C20" s="319" t="s">
        <v>92</v>
      </c>
      <c r="D20" s="319"/>
      <c r="E20" s="319"/>
      <c r="F20" s="28">
        <v>45519</v>
      </c>
      <c r="G20" s="77" t="s">
        <v>42</v>
      </c>
      <c r="H20" s="75">
        <v>352381</v>
      </c>
      <c r="I20" s="203">
        <v>2723</v>
      </c>
      <c r="J20" s="204" t="s">
        <v>222</v>
      </c>
      <c r="K20" s="204" t="s">
        <v>222</v>
      </c>
      <c r="L20" s="205" t="s">
        <v>223</v>
      </c>
    </row>
    <row r="21" spans="1:13" ht="30" customHeight="1">
      <c r="A21" s="248"/>
      <c r="B21" s="259" t="s">
        <v>206</v>
      </c>
      <c r="C21" s="331" t="s">
        <v>207</v>
      </c>
      <c r="D21" s="331"/>
      <c r="E21" s="331"/>
      <c r="F21" s="207">
        <v>45430</v>
      </c>
      <c r="G21" s="129" t="s">
        <v>42</v>
      </c>
      <c r="H21" s="78">
        <v>161918</v>
      </c>
      <c r="I21" s="203">
        <v>2035</v>
      </c>
      <c r="J21" s="206" t="s">
        <v>223</v>
      </c>
      <c r="K21" s="206" t="s">
        <v>223</v>
      </c>
      <c r="L21" s="166" t="s">
        <v>226</v>
      </c>
    </row>
    <row r="22" spans="1:13" ht="30" customHeight="1">
      <c r="A22" s="248"/>
      <c r="B22" s="259"/>
      <c r="C22" s="331" t="s">
        <v>93</v>
      </c>
      <c r="D22" s="331"/>
      <c r="E22" s="331"/>
      <c r="F22" s="129" t="s">
        <v>94</v>
      </c>
      <c r="G22" s="129" t="s">
        <v>42</v>
      </c>
      <c r="H22" s="78">
        <v>943283</v>
      </c>
      <c r="I22" s="203">
        <v>6940</v>
      </c>
      <c r="J22" s="206" t="s">
        <v>226</v>
      </c>
      <c r="K22" s="206" t="s">
        <v>226</v>
      </c>
      <c r="L22" s="166" t="s">
        <v>226</v>
      </c>
    </row>
    <row r="23" spans="1:13" ht="30" customHeight="1">
      <c r="A23" s="248"/>
      <c r="B23" s="259"/>
      <c r="C23" s="331" t="s">
        <v>95</v>
      </c>
      <c r="D23" s="331"/>
      <c r="E23" s="331"/>
      <c r="F23" s="129" t="s">
        <v>96</v>
      </c>
      <c r="G23" s="129" t="s">
        <v>42</v>
      </c>
      <c r="H23" s="78">
        <v>658350</v>
      </c>
      <c r="I23" s="203">
        <v>6978</v>
      </c>
      <c r="J23" s="206" t="s">
        <v>223</v>
      </c>
      <c r="K23" s="206" t="s">
        <v>223</v>
      </c>
      <c r="L23" s="166" t="s">
        <v>223</v>
      </c>
    </row>
    <row r="24" spans="1:13" ht="30" customHeight="1">
      <c r="A24" s="248"/>
      <c r="B24" s="259"/>
      <c r="C24" s="331" t="s">
        <v>97</v>
      </c>
      <c r="D24" s="331"/>
      <c r="E24" s="331"/>
      <c r="F24" s="129" t="s">
        <v>98</v>
      </c>
      <c r="G24" s="129" t="s">
        <v>99</v>
      </c>
      <c r="H24" s="78">
        <v>5578141</v>
      </c>
      <c r="I24" s="208">
        <v>35558</v>
      </c>
      <c r="J24" s="209" t="s">
        <v>222</v>
      </c>
      <c r="K24" s="209" t="s">
        <v>222</v>
      </c>
      <c r="L24" s="166" t="s">
        <v>226</v>
      </c>
    </row>
    <row r="25" spans="1:13" ht="30" customHeight="1">
      <c r="A25" s="248"/>
      <c r="B25" s="259"/>
      <c r="C25" s="331" t="s">
        <v>100</v>
      </c>
      <c r="D25" s="331"/>
      <c r="E25" s="331"/>
      <c r="F25" s="207">
        <v>45595</v>
      </c>
      <c r="G25" s="129" t="s">
        <v>81</v>
      </c>
      <c r="H25" s="78">
        <v>511929</v>
      </c>
      <c r="I25" s="208"/>
      <c r="J25" s="210">
        <v>7702</v>
      </c>
      <c r="K25" s="209" t="s">
        <v>226</v>
      </c>
      <c r="L25" s="166" t="s">
        <v>222</v>
      </c>
    </row>
    <row r="26" spans="1:13" ht="30" customHeight="1">
      <c r="A26" s="248"/>
      <c r="B26" s="259"/>
      <c r="C26" s="331" t="s">
        <v>101</v>
      </c>
      <c r="D26" s="331"/>
      <c r="E26" s="331"/>
      <c r="F26" s="207">
        <v>45631</v>
      </c>
      <c r="G26" s="129" t="s">
        <v>102</v>
      </c>
      <c r="H26" s="78">
        <v>723855</v>
      </c>
      <c r="I26" s="208"/>
      <c r="J26" s="210">
        <v>8376</v>
      </c>
      <c r="K26" s="209" t="s">
        <v>227</v>
      </c>
      <c r="L26" s="166" t="s">
        <v>222</v>
      </c>
    </row>
    <row r="27" spans="1:13" ht="30" customHeight="1">
      <c r="A27" s="248"/>
      <c r="B27" s="259"/>
      <c r="C27" s="331" t="s">
        <v>208</v>
      </c>
      <c r="D27" s="331"/>
      <c r="E27" s="331"/>
      <c r="F27" s="211"/>
      <c r="G27" s="211"/>
      <c r="H27" s="78">
        <v>115365</v>
      </c>
      <c r="I27" s="212">
        <v>-152</v>
      </c>
      <c r="J27" s="209" t="s">
        <v>222</v>
      </c>
      <c r="K27" s="209" t="s">
        <v>222</v>
      </c>
      <c r="L27" s="166" t="s">
        <v>226</v>
      </c>
    </row>
    <row r="28" spans="1:13" ht="30" customHeight="1">
      <c r="A28" s="248"/>
      <c r="B28" s="259"/>
      <c r="C28" s="331" t="s">
        <v>231</v>
      </c>
      <c r="D28" s="331"/>
      <c r="E28" s="331"/>
      <c r="F28" s="332">
        <v>45653</v>
      </c>
      <c r="G28" s="334" t="s">
        <v>104</v>
      </c>
      <c r="H28" s="336">
        <v>1949046</v>
      </c>
      <c r="I28" s="203">
        <v>16816</v>
      </c>
      <c r="J28" s="209" t="s">
        <v>222</v>
      </c>
      <c r="K28" s="209" t="s">
        <v>223</v>
      </c>
      <c r="L28" s="166" t="s">
        <v>226</v>
      </c>
    </row>
    <row r="29" spans="1:13" ht="30" customHeight="1" thickBot="1">
      <c r="A29" s="249"/>
      <c r="B29" s="260"/>
      <c r="C29" s="327" t="s">
        <v>232</v>
      </c>
      <c r="D29" s="327"/>
      <c r="E29" s="327"/>
      <c r="F29" s="333"/>
      <c r="G29" s="335"/>
      <c r="H29" s="337"/>
      <c r="I29" s="213" t="s">
        <v>233</v>
      </c>
      <c r="J29" s="214" t="s">
        <v>233</v>
      </c>
      <c r="K29" s="214" t="s">
        <v>222</v>
      </c>
      <c r="L29" s="168">
        <v>-7500</v>
      </c>
      <c r="M29" s="9" t="s">
        <v>248</v>
      </c>
    </row>
    <row r="30" spans="1:13" ht="30" customHeight="1" thickBot="1">
      <c r="A30" s="328" t="s">
        <v>219</v>
      </c>
      <c r="B30" s="329"/>
      <c r="C30" s="329"/>
      <c r="D30" s="329"/>
      <c r="E30" s="329"/>
      <c r="F30" s="329"/>
      <c r="G30" s="330"/>
      <c r="H30" s="312">
        <f>SUM(H6:H28)-(SUM(H7,H8,H9,H13,H14,H15,H16,H17,H18,H19,H20,H21,H22,H23,H24)*0.7)-(SUM(H10,H11,H12,H25,H26,H28)*0.5)</f>
        <v>7767896.8000000007</v>
      </c>
      <c r="I30" s="313"/>
      <c r="J30" s="313"/>
      <c r="K30" s="313"/>
      <c r="L30" s="314"/>
    </row>
    <row r="31" spans="1:13" ht="30" customHeight="1">
      <c r="A31" s="247" t="s">
        <v>214</v>
      </c>
      <c r="B31" s="196" t="s">
        <v>218</v>
      </c>
      <c r="C31" s="286" t="s">
        <v>209</v>
      </c>
      <c r="D31" s="287"/>
      <c r="E31" s="288"/>
      <c r="F31" s="197">
        <v>45300</v>
      </c>
      <c r="G31" s="198" t="s">
        <v>41</v>
      </c>
      <c r="H31" s="199">
        <v>114286</v>
      </c>
      <c r="I31" s="186" t="s">
        <v>224</v>
      </c>
      <c r="J31" s="133">
        <v>2550</v>
      </c>
      <c r="K31" s="186" t="s">
        <v>224</v>
      </c>
      <c r="L31" s="215" t="s">
        <v>226</v>
      </c>
    </row>
    <row r="32" spans="1:13" ht="30" customHeight="1">
      <c r="A32" s="248"/>
      <c r="B32" s="171" t="s">
        <v>210</v>
      </c>
      <c r="C32" s="270" t="s">
        <v>211</v>
      </c>
      <c r="D32" s="271"/>
      <c r="E32" s="271"/>
      <c r="F32" s="216">
        <v>45400</v>
      </c>
      <c r="G32" s="77" t="s">
        <v>41</v>
      </c>
      <c r="H32" s="81">
        <v>2541</v>
      </c>
      <c r="I32" s="188" t="s">
        <v>229</v>
      </c>
      <c r="J32" s="191">
        <v>161</v>
      </c>
      <c r="K32" s="188" t="s">
        <v>222</v>
      </c>
      <c r="L32" s="190" t="s">
        <v>222</v>
      </c>
    </row>
    <row r="33" spans="1:13" ht="30" customHeight="1">
      <c r="A33" s="248"/>
      <c r="B33" s="171" t="s">
        <v>126</v>
      </c>
      <c r="C33" s="270" t="s">
        <v>105</v>
      </c>
      <c r="D33" s="271"/>
      <c r="E33" s="271"/>
      <c r="F33" s="216">
        <v>45504</v>
      </c>
      <c r="G33" s="77" t="s">
        <v>41</v>
      </c>
      <c r="H33" s="81">
        <v>228571</v>
      </c>
      <c r="I33" s="188" t="s">
        <v>229</v>
      </c>
      <c r="J33" s="188" t="s">
        <v>229</v>
      </c>
      <c r="K33" s="131">
        <v>7373</v>
      </c>
      <c r="L33" s="190" t="s">
        <v>222</v>
      </c>
    </row>
    <row r="34" spans="1:13" ht="30" customHeight="1">
      <c r="A34" s="248"/>
      <c r="B34" s="171" t="s">
        <v>127</v>
      </c>
      <c r="C34" s="270" t="s">
        <v>106</v>
      </c>
      <c r="D34" s="271"/>
      <c r="E34" s="271"/>
      <c r="F34" s="216">
        <v>45564</v>
      </c>
      <c r="G34" s="77" t="s">
        <v>0</v>
      </c>
      <c r="H34" s="81">
        <v>619048</v>
      </c>
      <c r="I34" s="188" t="s">
        <v>229</v>
      </c>
      <c r="J34" s="188" t="s">
        <v>229</v>
      </c>
      <c r="K34" s="131">
        <f>18023-3600</f>
        <v>14423</v>
      </c>
      <c r="L34" s="190" t="s">
        <v>226</v>
      </c>
    </row>
    <row r="35" spans="1:13" ht="30" customHeight="1">
      <c r="A35" s="248"/>
      <c r="B35" s="171" t="s">
        <v>212</v>
      </c>
      <c r="C35" s="270" t="s">
        <v>213</v>
      </c>
      <c r="D35" s="271"/>
      <c r="E35" s="271"/>
      <c r="F35" s="216">
        <v>45626</v>
      </c>
      <c r="G35" s="77" t="s">
        <v>108</v>
      </c>
      <c r="H35" s="81">
        <v>142762</v>
      </c>
      <c r="I35" s="188" t="s">
        <v>229</v>
      </c>
      <c r="J35" s="188" t="s">
        <v>229</v>
      </c>
      <c r="K35" s="131">
        <v>2764</v>
      </c>
      <c r="L35" s="190" t="s">
        <v>222</v>
      </c>
    </row>
    <row r="36" spans="1:13" ht="30" customHeight="1">
      <c r="A36" s="248"/>
      <c r="B36" s="171" t="s">
        <v>128</v>
      </c>
      <c r="C36" s="270" t="s">
        <v>107</v>
      </c>
      <c r="D36" s="271"/>
      <c r="E36" s="271"/>
      <c r="F36" s="216">
        <v>45648</v>
      </c>
      <c r="G36" s="77" t="s">
        <v>108</v>
      </c>
      <c r="H36" s="81">
        <v>923810</v>
      </c>
      <c r="I36" s="188" t="s">
        <v>229</v>
      </c>
      <c r="J36" s="188" t="s">
        <v>229</v>
      </c>
      <c r="K36" s="131">
        <f>18229-1000</f>
        <v>17229</v>
      </c>
      <c r="L36" s="190" t="s">
        <v>222</v>
      </c>
    </row>
    <row r="37" spans="1:13" ht="30" customHeight="1" thickBot="1">
      <c r="A37" s="293"/>
      <c r="B37" s="68" t="s">
        <v>129</v>
      </c>
      <c r="C37" s="317" t="s">
        <v>109</v>
      </c>
      <c r="D37" s="318"/>
      <c r="E37" s="318"/>
      <c r="F37" s="217">
        <v>45652</v>
      </c>
      <c r="G37" s="70" t="s">
        <v>108</v>
      </c>
      <c r="H37" s="72">
        <v>438095</v>
      </c>
      <c r="I37" s="194" t="s">
        <v>223</v>
      </c>
      <c r="J37" s="194" t="s">
        <v>222</v>
      </c>
      <c r="K37" s="141">
        <f>10873-1000</f>
        <v>9873</v>
      </c>
      <c r="L37" s="195" t="s">
        <v>222</v>
      </c>
    </row>
    <row r="38" spans="1:13" s="16" customFormat="1" ht="30" customHeight="1">
      <c r="A38" s="315" t="s">
        <v>230</v>
      </c>
      <c r="B38" s="316"/>
      <c r="C38" s="316"/>
      <c r="D38" s="316"/>
      <c r="E38" s="316"/>
      <c r="F38" s="316"/>
      <c r="G38" s="316"/>
      <c r="H38" s="323">
        <f>SUM(H31:H37)-SUM(H31:H32)*0.5</f>
        <v>2410699.5</v>
      </c>
      <c r="I38" s="323"/>
      <c r="J38" s="323"/>
      <c r="K38" s="323"/>
      <c r="L38" s="324"/>
    </row>
    <row r="39" spans="1:13" s="16" customFormat="1" ht="30" customHeight="1">
      <c r="A39" s="321" t="s">
        <v>220</v>
      </c>
      <c r="B39" s="322"/>
      <c r="C39" s="322"/>
      <c r="D39" s="322"/>
      <c r="E39" s="322"/>
      <c r="F39" s="322"/>
      <c r="G39" s="322"/>
      <c r="H39" s="325">
        <f>H30+H38</f>
        <v>10178596.300000001</v>
      </c>
      <c r="I39" s="325"/>
      <c r="J39" s="325"/>
      <c r="K39" s="325"/>
      <c r="L39" s="326"/>
    </row>
    <row r="40" spans="1:13" s="16" customFormat="1" ht="30" customHeight="1">
      <c r="A40" s="321" t="s">
        <v>221</v>
      </c>
      <c r="B40" s="322"/>
      <c r="C40" s="322"/>
      <c r="D40" s="322"/>
      <c r="E40" s="322"/>
      <c r="F40" s="322"/>
      <c r="G40" s="322"/>
      <c r="H40" s="325">
        <f>H39*0.001</f>
        <v>10178.596300000001</v>
      </c>
      <c r="I40" s="325"/>
      <c r="J40" s="325"/>
      <c r="K40" s="325"/>
      <c r="L40" s="326"/>
    </row>
    <row r="41" spans="1:13" ht="30" customHeight="1">
      <c r="A41" s="303" t="s">
        <v>45</v>
      </c>
      <c r="B41" s="304"/>
      <c r="C41" s="304"/>
      <c r="D41" s="304"/>
      <c r="E41" s="304"/>
      <c r="F41" s="304"/>
      <c r="G41" s="305"/>
      <c r="H41" s="18">
        <f>H40</f>
        <v>10178.596300000001</v>
      </c>
      <c r="I41" s="18">
        <f>SUM(I6:I29,I31:I37)</f>
        <v>99298</v>
      </c>
      <c r="J41" s="18">
        <f>SUM(J6:J29,J31:J37)</f>
        <v>36006</v>
      </c>
      <c r="K41" s="18">
        <f>SUM(K6:K29,K31:K37)</f>
        <v>51662</v>
      </c>
      <c r="L41" s="58">
        <f>SUM(L6:L29,L31:L37)</f>
        <v>-7200</v>
      </c>
    </row>
    <row r="42" spans="1:13" ht="30" customHeight="1" thickBot="1">
      <c r="A42" s="306" t="s">
        <v>27</v>
      </c>
      <c r="B42" s="307"/>
      <c r="C42" s="307"/>
      <c r="D42" s="307"/>
      <c r="E42" s="307"/>
      <c r="F42" s="307"/>
      <c r="G42" s="308"/>
      <c r="H42" s="283">
        <f>SUM(H41:L41)</f>
        <v>189944.5963</v>
      </c>
      <c r="I42" s="284"/>
      <c r="J42" s="284"/>
      <c r="K42" s="284"/>
      <c r="L42" s="285"/>
      <c r="M42" s="184"/>
    </row>
    <row r="43" spans="1:13" ht="30" customHeight="1">
      <c r="A43" s="297" t="s">
        <v>247</v>
      </c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9"/>
    </row>
    <row r="44" spans="1:13" ht="30" customHeight="1">
      <c r="A44" s="300" t="s">
        <v>246</v>
      </c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</row>
    <row r="45" spans="1:13" ht="30" customHeight="1">
      <c r="A45" s="301" t="s">
        <v>245</v>
      </c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</row>
    <row r="46" spans="1:13" ht="30" customHeight="1">
      <c r="A46" s="172" t="s">
        <v>53</v>
      </c>
      <c r="B46" s="7"/>
      <c r="C46" s="7"/>
      <c r="D46" s="7"/>
      <c r="E46" s="7"/>
      <c r="F46" s="8"/>
      <c r="G46" s="7"/>
    </row>
    <row r="47" spans="1:13" ht="30" customHeight="1">
      <c r="A47" s="180" t="s">
        <v>242</v>
      </c>
      <c r="B47" s="182"/>
      <c r="C47" s="7"/>
      <c r="D47" s="7"/>
      <c r="E47" s="7"/>
      <c r="F47" s="8"/>
      <c r="G47" s="7"/>
      <c r="H47" s="8"/>
    </row>
    <row r="48" spans="1:13" ht="30" customHeight="1">
      <c r="A48" s="181" t="s">
        <v>243</v>
      </c>
      <c r="B48" s="182"/>
      <c r="C48" s="7"/>
      <c r="D48" s="7"/>
      <c r="E48" s="7"/>
      <c r="F48" s="8"/>
      <c r="G48" s="7"/>
    </row>
    <row r="49" spans="1:12" ht="30" customHeight="1">
      <c r="A49" s="181" t="s">
        <v>244</v>
      </c>
      <c r="B49" s="182"/>
      <c r="C49" s="7"/>
      <c r="D49" s="7"/>
      <c r="E49" s="7"/>
      <c r="F49" s="8"/>
      <c r="G49" s="7"/>
      <c r="H49" s="8"/>
    </row>
    <row r="50" spans="1:12" ht="30" customHeight="1">
      <c r="B50" s="7"/>
      <c r="C50" s="7"/>
      <c r="D50" s="7"/>
      <c r="E50" s="7"/>
      <c r="F50" s="8"/>
      <c r="G50" s="7"/>
      <c r="H50" s="8"/>
    </row>
    <row r="51" spans="1:12" ht="30" customHeight="1" thickBot="1">
      <c r="A51" s="7"/>
      <c r="B51" s="7"/>
      <c r="C51" s="7"/>
      <c r="D51" s="7"/>
      <c r="E51" s="7"/>
      <c r="F51" s="8"/>
      <c r="G51" s="7"/>
      <c r="H51" s="8"/>
      <c r="I51" s="4" t="s">
        <v>10</v>
      </c>
      <c r="J51" s="5"/>
      <c r="K51" s="5"/>
      <c r="L51" s="5"/>
    </row>
    <row r="52" spans="1:12" ht="30" customHeight="1">
      <c r="A52" s="7"/>
      <c r="B52" s="7"/>
      <c r="C52" s="7"/>
      <c r="D52" s="7"/>
      <c r="E52" s="7"/>
      <c r="F52" s="8"/>
      <c r="G52" s="7"/>
      <c r="H52" s="8"/>
    </row>
    <row r="53" spans="1:12">
      <c r="A53" s="7"/>
      <c r="B53" s="7"/>
      <c r="C53" s="7"/>
      <c r="D53" s="7"/>
      <c r="E53" s="7"/>
      <c r="F53" s="8"/>
      <c r="G53" s="7"/>
      <c r="H53" s="8"/>
      <c r="I53" s="8"/>
      <c r="J53" s="6"/>
    </row>
    <row r="54" spans="1:12">
      <c r="A54" s="7"/>
      <c r="B54" s="7"/>
      <c r="C54" s="7"/>
      <c r="D54" s="7"/>
      <c r="E54" s="7"/>
      <c r="F54" s="8"/>
      <c r="G54" s="7"/>
      <c r="H54" s="8"/>
      <c r="I54" s="8"/>
      <c r="J54" s="6"/>
    </row>
    <row r="55" spans="1:12">
      <c r="A55" s="7"/>
      <c r="B55" s="7"/>
      <c r="C55" s="7"/>
      <c r="D55" s="7"/>
      <c r="E55" s="7"/>
      <c r="F55" s="8"/>
      <c r="G55" s="7"/>
      <c r="H55" s="8"/>
      <c r="I55" s="8"/>
      <c r="J55" s="6"/>
    </row>
    <row r="56" spans="1:12">
      <c r="A56" s="7"/>
      <c r="B56" s="7"/>
      <c r="C56" s="7"/>
      <c r="D56" s="7"/>
      <c r="E56" s="7"/>
      <c r="F56" s="8"/>
      <c r="G56" s="7"/>
      <c r="H56" s="8"/>
      <c r="I56" s="8"/>
      <c r="J56" s="6"/>
    </row>
    <row r="57" spans="1:12">
      <c r="A57" s="7"/>
      <c r="B57" s="7"/>
      <c r="C57" s="7"/>
      <c r="D57" s="7"/>
      <c r="E57" s="7"/>
      <c r="F57" s="8"/>
      <c r="G57" s="7"/>
      <c r="H57" s="8"/>
      <c r="I57" s="8"/>
      <c r="J57" s="6"/>
    </row>
    <row r="58" spans="1:12">
      <c r="A58" s="7"/>
      <c r="B58" s="7"/>
      <c r="C58" s="7"/>
      <c r="D58" s="7"/>
      <c r="E58" s="7"/>
      <c r="F58" s="8"/>
      <c r="G58" s="7"/>
      <c r="H58" s="8"/>
      <c r="I58" s="8"/>
      <c r="J58" s="6"/>
    </row>
    <row r="59" spans="1:12">
      <c r="A59" s="7"/>
      <c r="B59" s="7"/>
      <c r="C59" s="7"/>
      <c r="D59" s="7"/>
      <c r="E59" s="7"/>
      <c r="F59" s="8"/>
      <c r="G59" s="7"/>
      <c r="H59" s="8"/>
      <c r="I59" s="8"/>
      <c r="J59" s="6"/>
    </row>
    <row r="60" spans="1:12">
      <c r="A60" s="7"/>
      <c r="B60" s="7"/>
      <c r="C60" s="7"/>
      <c r="D60" s="7"/>
      <c r="E60" s="7"/>
      <c r="F60" s="7"/>
      <c r="G60" s="8"/>
      <c r="H60" s="8"/>
      <c r="I60" s="6"/>
    </row>
    <row r="61" spans="1:12">
      <c r="A61" s="7"/>
      <c r="B61" s="7"/>
      <c r="C61" s="7"/>
      <c r="D61" s="7"/>
      <c r="E61" s="7"/>
      <c r="F61" s="7"/>
      <c r="G61" s="8"/>
      <c r="H61" s="8"/>
      <c r="I61" s="6"/>
    </row>
    <row r="62" spans="1:12">
      <c r="A62" s="7"/>
      <c r="B62" s="7"/>
      <c r="C62" s="7"/>
      <c r="D62" s="7"/>
      <c r="E62" s="7"/>
      <c r="F62" s="7"/>
      <c r="G62" s="8"/>
      <c r="H62" s="8"/>
      <c r="I62" s="6"/>
    </row>
    <row r="63" spans="1:12">
      <c r="A63" s="7"/>
      <c r="B63" s="7"/>
      <c r="C63" s="7"/>
      <c r="D63" s="7"/>
      <c r="E63" s="7"/>
      <c r="F63" s="7"/>
      <c r="G63" s="8"/>
      <c r="H63" s="8"/>
      <c r="I63" s="6"/>
    </row>
    <row r="64" spans="1:12">
      <c r="A64" s="7"/>
      <c r="B64" s="7"/>
      <c r="C64" s="7"/>
      <c r="D64" s="7"/>
      <c r="E64" s="7"/>
      <c r="F64" s="7"/>
      <c r="G64" s="8"/>
      <c r="H64" s="8"/>
      <c r="I64" s="6"/>
    </row>
    <row r="65" spans="1:9">
      <c r="A65" s="7"/>
      <c r="B65" s="7"/>
      <c r="C65" s="7"/>
      <c r="D65" s="7"/>
      <c r="E65" s="7"/>
      <c r="F65" s="7"/>
      <c r="G65" s="8"/>
      <c r="H65" s="8"/>
      <c r="I65" s="6"/>
    </row>
    <row r="66" spans="1:9">
      <c r="A66" s="7"/>
      <c r="B66" s="7"/>
      <c r="C66" s="7"/>
      <c r="D66" s="7"/>
      <c r="E66" s="7"/>
      <c r="F66" s="7"/>
      <c r="G66" s="8"/>
      <c r="H66" s="8"/>
      <c r="I66" s="6"/>
    </row>
    <row r="67" spans="1:9">
      <c r="A67" s="7"/>
      <c r="B67" s="7"/>
      <c r="C67" s="7"/>
      <c r="D67" s="7"/>
      <c r="E67" s="7"/>
      <c r="F67" s="7"/>
      <c r="G67" s="8"/>
      <c r="H67" s="8"/>
      <c r="I67" s="6"/>
    </row>
    <row r="68" spans="1:9">
      <c r="A68" s="7"/>
      <c r="B68" s="7"/>
      <c r="C68" s="7"/>
      <c r="D68" s="7"/>
      <c r="E68" s="7"/>
      <c r="F68" s="7"/>
      <c r="G68" s="8"/>
      <c r="H68" s="8"/>
      <c r="I68" s="6"/>
    </row>
    <row r="69" spans="1:9">
      <c r="F69" s="7"/>
      <c r="G69" s="8"/>
      <c r="H69" s="8"/>
      <c r="I69" s="6"/>
    </row>
    <row r="70" spans="1:9">
      <c r="F70" s="7"/>
      <c r="G70" s="8"/>
      <c r="H70" s="8"/>
      <c r="I70" s="6"/>
    </row>
    <row r="71" spans="1:9">
      <c r="F71" s="7"/>
      <c r="G71" s="8"/>
      <c r="H71" s="8"/>
      <c r="I71" s="6"/>
    </row>
    <row r="72" spans="1:9">
      <c r="F72" s="7"/>
      <c r="G72" s="8"/>
      <c r="H72" s="8"/>
      <c r="I72" s="6"/>
    </row>
    <row r="73" spans="1:9">
      <c r="F73" s="7"/>
      <c r="G73" s="8"/>
      <c r="H73" s="8"/>
      <c r="I73" s="6"/>
    </row>
    <row r="74" spans="1:9">
      <c r="F74" s="7"/>
      <c r="G74" s="8"/>
      <c r="H74" s="8"/>
      <c r="I74" s="6"/>
    </row>
    <row r="75" spans="1:9">
      <c r="F75" s="7"/>
      <c r="G75" s="8"/>
      <c r="H75" s="8"/>
      <c r="I75" s="6"/>
    </row>
    <row r="76" spans="1:9">
      <c r="F76" s="7"/>
      <c r="G76" s="8"/>
      <c r="H76" s="8"/>
      <c r="I76" s="6"/>
    </row>
    <row r="77" spans="1:9">
      <c r="F77" s="7"/>
      <c r="G77" s="8"/>
      <c r="H77" s="8"/>
      <c r="I77" s="6"/>
    </row>
    <row r="78" spans="1:9">
      <c r="F78" s="7"/>
      <c r="G78" s="8"/>
      <c r="H78" s="8"/>
      <c r="I78" s="6"/>
    </row>
    <row r="79" spans="1:9">
      <c r="F79" s="7"/>
      <c r="G79" s="8"/>
      <c r="H79" s="8"/>
      <c r="I79" s="6"/>
    </row>
    <row r="80" spans="1:9">
      <c r="F80" s="7"/>
      <c r="G80" s="8"/>
      <c r="H80" s="8"/>
      <c r="I80" s="6"/>
    </row>
  </sheetData>
  <mergeCells count="54">
    <mergeCell ref="H28:H29"/>
    <mergeCell ref="C11:E11"/>
    <mergeCell ref="C12:E12"/>
    <mergeCell ref="C7:E7"/>
    <mergeCell ref="C6:E6"/>
    <mergeCell ref="C14:E14"/>
    <mergeCell ref="C15:E15"/>
    <mergeCell ref="C16:E16"/>
    <mergeCell ref="C8:E8"/>
    <mergeCell ref="C9:E9"/>
    <mergeCell ref="C10:E10"/>
    <mergeCell ref="C31:E31"/>
    <mergeCell ref="C29:E29"/>
    <mergeCell ref="C36:E36"/>
    <mergeCell ref="A30:G30"/>
    <mergeCell ref="C21:E21"/>
    <mergeCell ref="C22:E22"/>
    <mergeCell ref="C23:E23"/>
    <mergeCell ref="C24:E24"/>
    <mergeCell ref="C25:E25"/>
    <mergeCell ref="C26:E26"/>
    <mergeCell ref="C27:E27"/>
    <mergeCell ref="C28:E28"/>
    <mergeCell ref="A13:A29"/>
    <mergeCell ref="B21:B29"/>
    <mergeCell ref="F28:F29"/>
    <mergeCell ref="G28:G29"/>
    <mergeCell ref="A39:G39"/>
    <mergeCell ref="A40:G40"/>
    <mergeCell ref="H38:L38"/>
    <mergeCell ref="H39:L39"/>
    <mergeCell ref="H40:L40"/>
    <mergeCell ref="A6:A12"/>
    <mergeCell ref="A4:L4"/>
    <mergeCell ref="A31:A37"/>
    <mergeCell ref="H30:L30"/>
    <mergeCell ref="A38:G38"/>
    <mergeCell ref="C37:E37"/>
    <mergeCell ref="C5:E5"/>
    <mergeCell ref="C32:E32"/>
    <mergeCell ref="C33:E33"/>
    <mergeCell ref="C34:E34"/>
    <mergeCell ref="C35:E35"/>
    <mergeCell ref="C20:E20"/>
    <mergeCell ref="C19:E19"/>
    <mergeCell ref="C18:E18"/>
    <mergeCell ref="C17:E17"/>
    <mergeCell ref="C13:E13"/>
    <mergeCell ref="A43:M43"/>
    <mergeCell ref="A44:M44"/>
    <mergeCell ref="A45:M45"/>
    <mergeCell ref="A41:G41"/>
    <mergeCell ref="A42:G42"/>
    <mergeCell ref="H42:L42"/>
  </mergeCells>
  <phoneticPr fontId="2" type="noConversion"/>
  <pageMargins left="0.23622047244094488" right="0.23622047244094488" top="0.51181102362204722" bottom="0.51181102362204722" header="0" footer="0"/>
  <pageSetup paperSize="9" scale="46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zoomScale="70" zoomScaleNormal="70" workbookViewId="0">
      <pane ySplit="3" topLeftCell="A4" activePane="bottomLeft" state="frozen"/>
      <selection pane="bottomLeft" activeCell="F3" sqref="F3"/>
    </sheetView>
  </sheetViews>
  <sheetFormatPr defaultColWidth="8.90625" defaultRowHeight="15.5"/>
  <cols>
    <col min="1" max="12" width="15.90625" style="9" customWidth="1"/>
    <col min="13" max="16384" width="8.90625" style="9"/>
  </cols>
  <sheetData>
    <row r="1" spans="1:12" s="24" customFormat="1" ht="30" customHeight="1">
      <c r="A1" s="234" t="s">
        <v>26</v>
      </c>
      <c r="B1" s="235" t="s">
        <v>4</v>
      </c>
      <c r="C1" s="235" t="s">
        <v>8</v>
      </c>
      <c r="D1" s="235" t="s">
        <v>7</v>
      </c>
      <c r="E1" s="235" t="s">
        <v>22</v>
      </c>
      <c r="F1" s="235" t="s">
        <v>9</v>
      </c>
      <c r="G1" s="20" t="s">
        <v>23</v>
      </c>
      <c r="H1" s="21" t="s">
        <v>24</v>
      </c>
      <c r="I1" s="23" t="s">
        <v>5</v>
      </c>
    </row>
    <row r="2" spans="1:12" ht="30" customHeight="1" thickBot="1">
      <c r="A2" s="43" t="s">
        <v>137</v>
      </c>
      <c r="B2" s="39">
        <v>45201</v>
      </c>
      <c r="C2" s="2">
        <v>31000</v>
      </c>
      <c r="D2" s="40">
        <v>90</v>
      </c>
      <c r="E2" s="2">
        <f>C2/365*D2</f>
        <v>7643.8356164383567</v>
      </c>
      <c r="F2" s="2" t="s">
        <v>254</v>
      </c>
      <c r="G2" s="2" t="s">
        <v>44</v>
      </c>
      <c r="H2" s="2">
        <v>3000</v>
      </c>
      <c r="I2" s="3">
        <f>SUM(E2:H2)</f>
        <v>10643.835616438357</v>
      </c>
    </row>
    <row r="3" spans="1:12" ht="30" customHeight="1" thickBot="1">
      <c r="A3" s="7"/>
      <c r="B3" s="7"/>
      <c r="C3" s="7"/>
      <c r="D3" s="8"/>
      <c r="E3" s="7"/>
      <c r="F3" s="8"/>
      <c r="G3" s="8"/>
      <c r="H3" s="6"/>
    </row>
    <row r="4" spans="1:12" ht="30" customHeight="1">
      <c r="A4" s="309" t="s">
        <v>136</v>
      </c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1"/>
    </row>
    <row r="5" spans="1:12" ht="30" customHeight="1" thickBot="1">
      <c r="A5" s="59" t="s">
        <v>15</v>
      </c>
      <c r="B5" s="60" t="s">
        <v>16</v>
      </c>
      <c r="C5" s="253" t="s">
        <v>17</v>
      </c>
      <c r="D5" s="254"/>
      <c r="E5" s="255"/>
      <c r="F5" s="60" t="s">
        <v>18</v>
      </c>
      <c r="G5" s="60" t="s">
        <v>19</v>
      </c>
      <c r="H5" s="60" t="s">
        <v>20</v>
      </c>
      <c r="I5" s="142" t="s">
        <v>57</v>
      </c>
      <c r="J5" s="142" t="s">
        <v>21</v>
      </c>
      <c r="K5" s="142" t="s">
        <v>140</v>
      </c>
      <c r="L5" s="143" t="s">
        <v>241</v>
      </c>
    </row>
    <row r="6" spans="1:12" ht="30" customHeight="1" thickBot="1">
      <c r="A6" s="152" t="s">
        <v>141</v>
      </c>
      <c r="B6" s="227" t="s">
        <v>79</v>
      </c>
      <c r="C6" s="344" t="s">
        <v>80</v>
      </c>
      <c r="D6" s="345"/>
      <c r="E6" s="346"/>
      <c r="F6" s="228">
        <v>45626</v>
      </c>
      <c r="G6" s="229" t="s">
        <v>81</v>
      </c>
      <c r="H6" s="155">
        <v>580952</v>
      </c>
      <c r="I6" s="230" t="s">
        <v>222</v>
      </c>
      <c r="J6" s="230" t="s">
        <v>222</v>
      </c>
      <c r="K6" s="230" t="s">
        <v>222</v>
      </c>
      <c r="L6" s="231">
        <v>1000</v>
      </c>
    </row>
    <row r="7" spans="1:12" ht="30" customHeight="1">
      <c r="A7" s="265" t="s">
        <v>184</v>
      </c>
      <c r="B7" s="69" t="s">
        <v>128</v>
      </c>
      <c r="C7" s="347" t="s">
        <v>107</v>
      </c>
      <c r="D7" s="348"/>
      <c r="E7" s="348"/>
      <c r="F7" s="225">
        <v>45648</v>
      </c>
      <c r="G7" s="71" t="s">
        <v>108</v>
      </c>
      <c r="H7" s="73">
        <v>923810</v>
      </c>
      <c r="I7" s="226" t="s">
        <v>44</v>
      </c>
      <c r="J7" s="226" t="s">
        <v>44</v>
      </c>
      <c r="K7" s="138"/>
      <c r="L7" s="233">
        <v>1000</v>
      </c>
    </row>
    <row r="8" spans="1:12" ht="30" customHeight="1" thickBot="1">
      <c r="A8" s="266"/>
      <c r="B8" s="68" t="s">
        <v>129</v>
      </c>
      <c r="C8" s="317" t="s">
        <v>109</v>
      </c>
      <c r="D8" s="318"/>
      <c r="E8" s="318"/>
      <c r="F8" s="217">
        <v>45652</v>
      </c>
      <c r="G8" s="70" t="s">
        <v>108</v>
      </c>
      <c r="H8" s="72">
        <v>438095</v>
      </c>
      <c r="I8" s="194" t="s">
        <v>44</v>
      </c>
      <c r="J8" s="194" t="s">
        <v>222</v>
      </c>
      <c r="K8" s="141"/>
      <c r="L8" s="232">
        <v>1000</v>
      </c>
    </row>
    <row r="9" spans="1:12" ht="30" customHeight="1">
      <c r="A9" s="315" t="s">
        <v>252</v>
      </c>
      <c r="B9" s="316"/>
      <c r="C9" s="316"/>
      <c r="D9" s="316"/>
      <c r="E9" s="316"/>
      <c r="F9" s="316"/>
      <c r="G9" s="316"/>
      <c r="H9" s="323">
        <v>0</v>
      </c>
      <c r="I9" s="323"/>
      <c r="J9" s="323"/>
      <c r="K9" s="323"/>
      <c r="L9" s="324"/>
    </row>
    <row r="10" spans="1:12" ht="30" customHeight="1">
      <c r="A10" s="321" t="s">
        <v>220</v>
      </c>
      <c r="B10" s="322"/>
      <c r="C10" s="322"/>
      <c r="D10" s="322"/>
      <c r="E10" s="322"/>
      <c r="F10" s="322"/>
      <c r="G10" s="322"/>
      <c r="H10" s="325">
        <v>0</v>
      </c>
      <c r="I10" s="325"/>
      <c r="J10" s="325"/>
      <c r="K10" s="325"/>
      <c r="L10" s="326"/>
    </row>
    <row r="11" spans="1:12" ht="30" customHeight="1">
      <c r="A11" s="321" t="s">
        <v>221</v>
      </c>
      <c r="B11" s="322"/>
      <c r="C11" s="322"/>
      <c r="D11" s="322"/>
      <c r="E11" s="322"/>
      <c r="F11" s="322"/>
      <c r="G11" s="322"/>
      <c r="H11" s="325">
        <v>0</v>
      </c>
      <c r="I11" s="325"/>
      <c r="J11" s="325"/>
      <c r="K11" s="325"/>
      <c r="L11" s="326"/>
    </row>
    <row r="12" spans="1:12" ht="30" customHeight="1">
      <c r="A12" s="303" t="s">
        <v>253</v>
      </c>
      <c r="B12" s="304"/>
      <c r="C12" s="304"/>
      <c r="D12" s="304"/>
      <c r="E12" s="304"/>
      <c r="F12" s="304"/>
      <c r="G12" s="305"/>
      <c r="H12" s="18">
        <f>H11</f>
        <v>0</v>
      </c>
      <c r="I12" s="18">
        <f t="shared" ref="I12:J12" si="0">SUM(I6:I8)</f>
        <v>0</v>
      </c>
      <c r="J12" s="18">
        <f t="shared" si="0"/>
        <v>0</v>
      </c>
      <c r="K12" s="18">
        <f>SUM(K6:K8)</f>
        <v>0</v>
      </c>
      <c r="L12" s="58">
        <f>SUM(L6:L8)</f>
        <v>3000</v>
      </c>
    </row>
    <row r="13" spans="1:12" ht="30" customHeight="1" thickBot="1">
      <c r="A13" s="306" t="s">
        <v>27</v>
      </c>
      <c r="B13" s="307"/>
      <c r="C13" s="307"/>
      <c r="D13" s="307"/>
      <c r="E13" s="307"/>
      <c r="F13" s="307"/>
      <c r="G13" s="308"/>
      <c r="H13" s="283">
        <f>SUM(H12:L12)</f>
        <v>3000</v>
      </c>
      <c r="I13" s="284"/>
      <c r="J13" s="284"/>
      <c r="K13" s="284"/>
      <c r="L13" s="285"/>
    </row>
    <row r="14" spans="1:12" ht="20.5">
      <c r="A14" s="53"/>
      <c r="B14" s="7"/>
      <c r="C14" s="7"/>
      <c r="D14" s="8"/>
      <c r="E14" s="7"/>
      <c r="F14" s="8"/>
      <c r="G14" s="8"/>
      <c r="H14" s="6"/>
    </row>
    <row r="15" spans="1:12" ht="20.5">
      <c r="A15" s="53" t="s">
        <v>46</v>
      </c>
      <c r="B15" s="7"/>
      <c r="C15" s="7"/>
      <c r="D15" s="8"/>
      <c r="E15" s="7"/>
      <c r="F15" s="8"/>
      <c r="G15" s="8"/>
      <c r="H15" s="6"/>
    </row>
    <row r="16" spans="1:12" ht="20.5">
      <c r="A16" s="53" t="s">
        <v>53</v>
      </c>
      <c r="B16" s="7"/>
      <c r="C16" s="7"/>
      <c r="D16" s="8"/>
      <c r="E16" s="7"/>
      <c r="F16" s="8"/>
      <c r="G16" s="8"/>
      <c r="H16" s="6"/>
    </row>
    <row r="17" spans="1:12" ht="21" thickBot="1">
      <c r="A17" s="53" t="s">
        <v>51</v>
      </c>
      <c r="B17" s="7"/>
      <c r="C17" s="7"/>
      <c r="D17" s="8"/>
      <c r="E17" s="7"/>
      <c r="I17" s="4" t="s">
        <v>10</v>
      </c>
      <c r="J17" s="5"/>
      <c r="K17" s="5"/>
      <c r="L17" s="5"/>
    </row>
    <row r="18" spans="1:12">
      <c r="A18" s="7"/>
      <c r="B18" s="7"/>
      <c r="C18" s="7"/>
      <c r="D18" s="8"/>
      <c r="E18" s="7"/>
      <c r="F18" s="8"/>
      <c r="G18" s="8"/>
      <c r="H18" s="6"/>
    </row>
    <row r="19" spans="1:12">
      <c r="A19" s="7"/>
      <c r="B19" s="7"/>
      <c r="C19" s="7"/>
      <c r="D19" s="8"/>
      <c r="E19" s="7"/>
    </row>
    <row r="20" spans="1:12">
      <c r="A20" s="7"/>
      <c r="B20" s="7"/>
      <c r="C20" s="7"/>
      <c r="D20" s="8"/>
      <c r="E20" s="7"/>
      <c r="F20" s="8"/>
      <c r="G20" s="8"/>
      <c r="H20" s="6"/>
    </row>
    <row r="21" spans="1:12">
      <c r="A21" s="7"/>
      <c r="B21" s="7"/>
      <c r="C21" s="7"/>
      <c r="D21" s="8"/>
      <c r="E21" s="7"/>
      <c r="F21" s="8"/>
      <c r="G21" s="8"/>
      <c r="H21" s="6"/>
    </row>
    <row r="22" spans="1:12">
      <c r="A22" s="7"/>
      <c r="B22" s="7"/>
      <c r="C22" s="7"/>
      <c r="D22" s="8"/>
      <c r="E22" s="7"/>
      <c r="F22" s="8"/>
      <c r="G22" s="8"/>
      <c r="H22" s="6"/>
    </row>
    <row r="23" spans="1:12">
      <c r="A23" s="7"/>
      <c r="B23" s="7"/>
      <c r="C23" s="7"/>
      <c r="D23" s="8"/>
      <c r="E23" s="7"/>
      <c r="F23" s="8"/>
      <c r="G23" s="8"/>
      <c r="H23" s="6"/>
    </row>
    <row r="24" spans="1:12">
      <c r="A24" s="7"/>
      <c r="B24" s="7"/>
      <c r="C24" s="7"/>
      <c r="D24" s="8"/>
      <c r="E24" s="7"/>
      <c r="F24" s="8"/>
      <c r="G24" s="8"/>
      <c r="H24" s="6"/>
    </row>
    <row r="25" spans="1:12">
      <c r="A25" s="7"/>
      <c r="B25" s="7"/>
      <c r="C25" s="7"/>
      <c r="D25" s="8"/>
      <c r="E25" s="7"/>
      <c r="F25" s="8"/>
      <c r="G25" s="8"/>
      <c r="H25" s="6"/>
    </row>
    <row r="26" spans="1:12">
      <c r="A26" s="7"/>
      <c r="B26" s="7"/>
      <c r="C26" s="7"/>
      <c r="D26" s="8"/>
      <c r="E26" s="7"/>
      <c r="F26" s="8"/>
      <c r="G26" s="8"/>
      <c r="H26" s="6"/>
    </row>
    <row r="27" spans="1:12">
      <c r="A27" s="7"/>
      <c r="B27" s="7"/>
      <c r="C27" s="7"/>
      <c r="D27" s="8"/>
      <c r="E27" s="7"/>
      <c r="F27" s="8"/>
      <c r="G27" s="8"/>
      <c r="H27" s="6"/>
    </row>
    <row r="28" spans="1:12">
      <c r="A28" s="7"/>
      <c r="B28" s="7"/>
      <c r="C28" s="7"/>
      <c r="D28" s="8"/>
      <c r="E28" s="7"/>
      <c r="F28" s="8"/>
      <c r="G28" s="8"/>
      <c r="H28" s="6"/>
    </row>
    <row r="29" spans="1:12">
      <c r="A29" s="7"/>
      <c r="B29" s="7"/>
      <c r="C29" s="7"/>
      <c r="D29" s="8"/>
      <c r="E29" s="7"/>
      <c r="F29" s="8"/>
      <c r="G29" s="8"/>
      <c r="H29" s="6"/>
    </row>
    <row r="30" spans="1:12">
      <c r="A30" s="7"/>
      <c r="B30" s="7"/>
      <c r="C30" s="7"/>
      <c r="D30" s="8"/>
      <c r="E30" s="7"/>
      <c r="F30" s="8"/>
      <c r="G30" s="8"/>
      <c r="H30" s="6"/>
    </row>
    <row r="31" spans="1:12">
      <c r="A31" s="7"/>
      <c r="B31" s="7"/>
      <c r="C31" s="7"/>
      <c r="D31" s="7"/>
      <c r="E31" s="8"/>
      <c r="F31" s="8"/>
      <c r="G31" s="6"/>
    </row>
    <row r="32" spans="1:12">
      <c r="A32" s="7"/>
      <c r="B32" s="7"/>
      <c r="C32" s="7"/>
      <c r="D32" s="7"/>
      <c r="E32" s="8"/>
      <c r="F32" s="8"/>
      <c r="G32" s="6"/>
    </row>
    <row r="33" spans="1:7">
      <c r="A33" s="7"/>
      <c r="B33" s="7"/>
      <c r="C33" s="7"/>
      <c r="D33" s="7"/>
      <c r="E33" s="8"/>
      <c r="F33" s="8"/>
      <c r="G33" s="6"/>
    </row>
    <row r="34" spans="1:7">
      <c r="A34" s="7"/>
      <c r="B34" s="7"/>
      <c r="C34" s="7"/>
      <c r="D34" s="7"/>
      <c r="E34" s="8"/>
      <c r="F34" s="8"/>
      <c r="G34" s="6"/>
    </row>
    <row r="35" spans="1:7">
      <c r="A35" s="7"/>
      <c r="B35" s="7"/>
      <c r="C35" s="7"/>
      <c r="D35" s="7"/>
      <c r="E35" s="8"/>
      <c r="F35" s="8"/>
      <c r="G35" s="6"/>
    </row>
    <row r="36" spans="1:7">
      <c r="A36" s="7"/>
      <c r="B36" s="7"/>
      <c r="C36" s="7"/>
      <c r="D36" s="7"/>
      <c r="E36" s="8"/>
      <c r="F36" s="8"/>
      <c r="G36" s="6"/>
    </row>
    <row r="37" spans="1:7">
      <c r="A37" s="7"/>
      <c r="B37" s="7"/>
      <c r="C37" s="7"/>
      <c r="D37" s="7"/>
      <c r="E37" s="8"/>
      <c r="F37" s="8"/>
      <c r="G37" s="6"/>
    </row>
    <row r="38" spans="1:7">
      <c r="A38" s="7"/>
      <c r="B38" s="7"/>
      <c r="C38" s="7"/>
      <c r="D38" s="7"/>
      <c r="E38" s="8"/>
      <c r="F38" s="8"/>
      <c r="G38" s="6"/>
    </row>
    <row r="39" spans="1:7">
      <c r="A39" s="7"/>
      <c r="B39" s="7"/>
      <c r="C39" s="7"/>
      <c r="D39" s="7"/>
      <c r="E39" s="8"/>
      <c r="F39" s="8"/>
      <c r="G39" s="6"/>
    </row>
    <row r="40" spans="1:7">
      <c r="D40" s="7"/>
      <c r="E40" s="8"/>
      <c r="F40" s="8"/>
      <c r="G40" s="6"/>
    </row>
    <row r="41" spans="1:7">
      <c r="D41" s="7"/>
      <c r="E41" s="8"/>
      <c r="F41" s="8"/>
      <c r="G41" s="6"/>
    </row>
    <row r="42" spans="1:7">
      <c r="D42" s="7"/>
      <c r="E42" s="8"/>
      <c r="F42" s="8"/>
      <c r="G42" s="6"/>
    </row>
    <row r="43" spans="1:7">
      <c r="D43" s="7"/>
      <c r="E43" s="8"/>
      <c r="F43" s="8"/>
      <c r="G43" s="6"/>
    </row>
    <row r="44" spans="1:7">
      <c r="D44" s="7"/>
      <c r="E44" s="8"/>
      <c r="F44" s="8"/>
      <c r="G44" s="6"/>
    </row>
    <row r="45" spans="1:7">
      <c r="D45" s="7"/>
      <c r="E45" s="8"/>
      <c r="F45" s="8"/>
      <c r="G45" s="6"/>
    </row>
    <row r="46" spans="1:7">
      <c r="D46" s="7"/>
      <c r="E46" s="8"/>
      <c r="F46" s="8"/>
      <c r="G46" s="6"/>
    </row>
    <row r="47" spans="1:7">
      <c r="D47" s="7"/>
      <c r="E47" s="8"/>
      <c r="F47" s="8"/>
      <c r="G47" s="6"/>
    </row>
    <row r="48" spans="1:7">
      <c r="D48" s="7"/>
      <c r="E48" s="8"/>
      <c r="F48" s="8"/>
      <c r="G48" s="6"/>
    </row>
    <row r="49" spans="4:7">
      <c r="D49" s="7"/>
      <c r="E49" s="8"/>
      <c r="F49" s="8"/>
      <c r="G49" s="6"/>
    </row>
    <row r="50" spans="4:7">
      <c r="D50" s="7"/>
      <c r="E50" s="8"/>
      <c r="F50" s="8"/>
      <c r="G50" s="6"/>
    </row>
    <row r="51" spans="4:7">
      <c r="D51" s="7"/>
      <c r="E51" s="8"/>
      <c r="F51" s="8"/>
      <c r="G51" s="6"/>
    </row>
  </sheetData>
  <mergeCells count="15">
    <mergeCell ref="A4:L4"/>
    <mergeCell ref="C5:E5"/>
    <mergeCell ref="C6:E6"/>
    <mergeCell ref="A12:G12"/>
    <mergeCell ref="A13:G13"/>
    <mergeCell ref="H13:L13"/>
    <mergeCell ref="A7:A8"/>
    <mergeCell ref="A9:G9"/>
    <mergeCell ref="H9:L9"/>
    <mergeCell ref="A10:G10"/>
    <mergeCell ref="H10:L10"/>
    <mergeCell ref="A11:G11"/>
    <mergeCell ref="H11:L11"/>
    <mergeCell ref="C7:E7"/>
    <mergeCell ref="C8:E8"/>
  </mergeCells>
  <phoneticPr fontId="2" type="noConversion"/>
  <pageMargins left="0.23622047244094488" right="0.23622047244094488" top="0.51181102362204722" bottom="0.51181102362204722" header="0" footer="0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0"/>
  <sheetViews>
    <sheetView zoomScale="70" zoomScaleNormal="70" workbookViewId="0">
      <pane ySplit="5" topLeftCell="A32" activePane="bottomLeft" state="frozen"/>
      <selection pane="bottomLeft" activeCell="J2" sqref="J2"/>
    </sheetView>
  </sheetViews>
  <sheetFormatPr defaultColWidth="8.90625" defaultRowHeight="15.5"/>
  <cols>
    <col min="1" max="13" width="15.90625" style="9" customWidth="1"/>
    <col min="14" max="14" width="21.26953125" style="9" customWidth="1"/>
    <col min="15" max="16384" width="8.90625" style="9"/>
  </cols>
  <sheetData>
    <row r="1" spans="1:14" s="24" customFormat="1" ht="30" customHeight="1">
      <c r="A1" s="26" t="s">
        <v>3</v>
      </c>
      <c r="B1" s="66" t="s">
        <v>32</v>
      </c>
      <c r="C1" s="66" t="s">
        <v>8</v>
      </c>
      <c r="D1" s="66" t="s">
        <v>7</v>
      </c>
      <c r="E1" s="66" t="s">
        <v>22</v>
      </c>
      <c r="F1" s="66" t="s">
        <v>9</v>
      </c>
      <c r="G1" s="20" t="s">
        <v>23</v>
      </c>
      <c r="H1" s="21" t="s">
        <v>24</v>
      </c>
      <c r="I1" s="22" t="s">
        <v>5</v>
      </c>
    </row>
    <row r="2" spans="1:14" ht="30" customHeight="1" thickBot="1">
      <c r="A2" s="41" t="s">
        <v>1</v>
      </c>
      <c r="B2" s="39">
        <v>43822</v>
      </c>
      <c r="C2" s="2">
        <v>36000</v>
      </c>
      <c r="D2" s="40">
        <v>1469</v>
      </c>
      <c r="E2" s="2">
        <v>39000</v>
      </c>
      <c r="F2" s="2">
        <f>J38-E2</f>
        <v>141323.26069999998</v>
      </c>
      <c r="G2" s="2" t="s">
        <v>44</v>
      </c>
      <c r="H2" s="2" t="s">
        <v>44</v>
      </c>
      <c r="I2" s="3">
        <f>SUM(E2:G2)</f>
        <v>180323.26069999998</v>
      </c>
    </row>
    <row r="3" spans="1:14" ht="30" customHeight="1" thickBot="1">
      <c r="A3" s="7"/>
      <c r="B3" s="7"/>
      <c r="C3" s="7"/>
      <c r="D3" s="7"/>
      <c r="E3" s="7"/>
      <c r="F3" s="8"/>
      <c r="G3" s="7"/>
      <c r="H3" s="8"/>
      <c r="I3" s="8"/>
      <c r="J3" s="6"/>
    </row>
    <row r="4" spans="1:14" ht="30" customHeight="1">
      <c r="A4" s="241" t="s">
        <v>136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3"/>
    </row>
    <row r="5" spans="1:14" ht="30" customHeight="1" thickBot="1">
      <c r="A5" s="109" t="s">
        <v>15</v>
      </c>
      <c r="B5" s="110" t="s">
        <v>16</v>
      </c>
      <c r="C5" s="390" t="s">
        <v>17</v>
      </c>
      <c r="D5" s="391"/>
      <c r="E5" s="392"/>
      <c r="F5" s="110" t="s">
        <v>18</v>
      </c>
      <c r="G5" s="110" t="s">
        <v>19</v>
      </c>
      <c r="H5" s="110" t="s">
        <v>54</v>
      </c>
      <c r="I5" s="110" t="s">
        <v>55</v>
      </c>
      <c r="J5" s="110" t="s">
        <v>20</v>
      </c>
      <c r="K5" s="111" t="s">
        <v>56</v>
      </c>
      <c r="L5" s="111" t="s">
        <v>57</v>
      </c>
      <c r="M5" s="112" t="s">
        <v>21</v>
      </c>
    </row>
    <row r="6" spans="1:14" s="17" customFormat="1" ht="30" customHeight="1">
      <c r="A6" s="358" t="s">
        <v>82</v>
      </c>
      <c r="B6" s="102" t="s">
        <v>58</v>
      </c>
      <c r="C6" s="365" t="s">
        <v>59</v>
      </c>
      <c r="D6" s="366"/>
      <c r="E6" s="367"/>
      <c r="F6" s="104">
        <v>45299</v>
      </c>
      <c r="G6" s="105" t="s">
        <v>40</v>
      </c>
      <c r="H6" s="103" t="s">
        <v>60</v>
      </c>
      <c r="I6" s="106" t="s">
        <v>39</v>
      </c>
      <c r="J6" s="107">
        <v>362068</v>
      </c>
      <c r="K6" s="108"/>
      <c r="L6" s="108"/>
      <c r="M6" s="113">
        <v>2610</v>
      </c>
    </row>
    <row r="7" spans="1:14" s="17" customFormat="1" ht="30" customHeight="1">
      <c r="A7" s="359"/>
      <c r="B7" s="63" t="s">
        <v>61</v>
      </c>
      <c r="C7" s="368" t="s">
        <v>170</v>
      </c>
      <c r="D7" s="369"/>
      <c r="E7" s="370"/>
      <c r="F7" s="45" t="s">
        <v>63</v>
      </c>
      <c r="G7" s="45" t="s">
        <v>64</v>
      </c>
      <c r="H7" s="44" t="s">
        <v>60</v>
      </c>
      <c r="I7" s="67" t="s">
        <v>65</v>
      </c>
      <c r="J7" s="62">
        <v>3111555</v>
      </c>
      <c r="K7" s="83"/>
      <c r="L7" s="117">
        <v>14678</v>
      </c>
      <c r="M7" s="87"/>
    </row>
    <row r="8" spans="1:14" s="17" customFormat="1" ht="30" customHeight="1">
      <c r="A8" s="359"/>
      <c r="B8" s="63" t="s">
        <v>66</v>
      </c>
      <c r="C8" s="368" t="s">
        <v>67</v>
      </c>
      <c r="D8" s="369"/>
      <c r="E8" s="370"/>
      <c r="F8" s="82">
        <v>45332</v>
      </c>
      <c r="G8" s="45" t="s">
        <v>39</v>
      </c>
      <c r="H8" s="44" t="s">
        <v>60</v>
      </c>
      <c r="I8" s="67" t="s">
        <v>39</v>
      </c>
      <c r="J8" s="62">
        <v>3163</v>
      </c>
      <c r="K8" s="83"/>
      <c r="L8" s="83"/>
      <c r="M8" s="114">
        <v>76</v>
      </c>
    </row>
    <row r="9" spans="1:14" s="17" customFormat="1" ht="30" customHeight="1">
      <c r="A9" s="359"/>
      <c r="B9" s="63" t="s">
        <v>68</v>
      </c>
      <c r="C9" s="368" t="s">
        <v>69</v>
      </c>
      <c r="D9" s="369"/>
      <c r="E9" s="370"/>
      <c r="F9" s="82">
        <v>45355</v>
      </c>
      <c r="G9" s="45" t="s">
        <v>47</v>
      </c>
      <c r="H9" s="44" t="s">
        <v>60</v>
      </c>
      <c r="I9" s="67" t="s">
        <v>39</v>
      </c>
      <c r="J9" s="62">
        <v>9200</v>
      </c>
      <c r="K9" s="83"/>
      <c r="L9" s="83"/>
      <c r="M9" s="114">
        <v>208</v>
      </c>
    </row>
    <row r="10" spans="1:14" s="17" customFormat="1" ht="30" customHeight="1">
      <c r="A10" s="359"/>
      <c r="B10" s="63" t="s">
        <v>70</v>
      </c>
      <c r="C10" s="368" t="s">
        <v>71</v>
      </c>
      <c r="D10" s="369"/>
      <c r="E10" s="370"/>
      <c r="F10" s="45" t="s">
        <v>171</v>
      </c>
      <c r="G10" s="45" t="s">
        <v>64</v>
      </c>
      <c r="H10" s="67" t="s">
        <v>60</v>
      </c>
      <c r="I10" s="67" t="s">
        <v>39</v>
      </c>
      <c r="J10" s="62">
        <v>219048</v>
      </c>
      <c r="K10" s="83"/>
      <c r="L10" s="115">
        <v>1913</v>
      </c>
      <c r="M10" s="87"/>
    </row>
    <row r="11" spans="1:14" s="17" customFormat="1" ht="30" customHeight="1">
      <c r="A11" s="359"/>
      <c r="B11" s="63" t="s">
        <v>73</v>
      </c>
      <c r="C11" s="368" t="s">
        <v>74</v>
      </c>
      <c r="D11" s="369"/>
      <c r="E11" s="370"/>
      <c r="F11" s="45" t="s">
        <v>172</v>
      </c>
      <c r="G11" s="45" t="s">
        <v>75</v>
      </c>
      <c r="H11" s="67" t="s">
        <v>60</v>
      </c>
      <c r="I11" s="67" t="s">
        <v>39</v>
      </c>
      <c r="J11" s="62">
        <v>377193</v>
      </c>
      <c r="K11" s="83"/>
      <c r="L11" s="83"/>
      <c r="M11" s="116">
        <v>5499</v>
      </c>
    </row>
    <row r="12" spans="1:14" s="17" customFormat="1" ht="30" customHeight="1">
      <c r="A12" s="359"/>
      <c r="B12" s="63" t="s">
        <v>76</v>
      </c>
      <c r="C12" s="375" t="s">
        <v>77</v>
      </c>
      <c r="D12" s="376"/>
      <c r="E12" s="377"/>
      <c r="F12" s="82">
        <v>45584</v>
      </c>
      <c r="G12" s="45" t="s">
        <v>78</v>
      </c>
      <c r="H12" s="67" t="s">
        <v>60</v>
      </c>
      <c r="I12" s="67" t="s">
        <v>239</v>
      </c>
      <c r="J12" s="62">
        <v>1491811</v>
      </c>
      <c r="K12" s="83"/>
      <c r="L12" s="83"/>
      <c r="M12" s="165">
        <v>8385</v>
      </c>
      <c r="N12" s="17" t="s">
        <v>240</v>
      </c>
    </row>
    <row r="13" spans="1:14" s="17" customFormat="1" ht="30" customHeight="1" thickBot="1">
      <c r="A13" s="360"/>
      <c r="B13" s="90" t="s">
        <v>79</v>
      </c>
      <c r="C13" s="378" t="s">
        <v>80</v>
      </c>
      <c r="D13" s="379"/>
      <c r="E13" s="380"/>
      <c r="F13" s="92">
        <v>45626</v>
      </c>
      <c r="G13" s="93" t="s">
        <v>81</v>
      </c>
      <c r="H13" s="94" t="s">
        <v>60</v>
      </c>
      <c r="I13" s="94" t="s">
        <v>39</v>
      </c>
      <c r="J13" s="65">
        <v>580952</v>
      </c>
      <c r="K13" s="117">
        <v>3938</v>
      </c>
      <c r="L13" s="100"/>
      <c r="M13" s="95"/>
    </row>
    <row r="14" spans="1:14" s="17" customFormat="1" ht="30" customHeight="1">
      <c r="A14" s="361" t="s">
        <v>131</v>
      </c>
      <c r="B14" s="55" t="s">
        <v>83</v>
      </c>
      <c r="C14" s="381" t="s">
        <v>84</v>
      </c>
      <c r="D14" s="382"/>
      <c r="E14" s="383"/>
      <c r="F14" s="85">
        <v>45304</v>
      </c>
      <c r="G14" s="84" t="s">
        <v>75</v>
      </c>
      <c r="H14" s="84" t="s">
        <v>60</v>
      </c>
      <c r="I14" s="84" t="s">
        <v>39</v>
      </c>
      <c r="J14" s="96">
        <v>776190</v>
      </c>
      <c r="K14" s="86"/>
      <c r="L14" s="118">
        <v>6310</v>
      </c>
      <c r="M14" s="97"/>
    </row>
    <row r="15" spans="1:14" s="17" customFormat="1" ht="30" customHeight="1">
      <c r="A15" s="359"/>
      <c r="B15" s="47" t="s">
        <v>85</v>
      </c>
      <c r="C15" s="372" t="s">
        <v>86</v>
      </c>
      <c r="D15" s="373"/>
      <c r="E15" s="374"/>
      <c r="F15" s="82">
        <v>45359</v>
      </c>
      <c r="G15" s="44" t="s">
        <v>42</v>
      </c>
      <c r="H15" s="44" t="s">
        <v>60</v>
      </c>
      <c r="I15" s="44" t="s">
        <v>39</v>
      </c>
      <c r="J15" s="46">
        <v>292116</v>
      </c>
      <c r="K15" s="83"/>
      <c r="L15" s="83"/>
      <c r="M15" s="116">
        <v>4431</v>
      </c>
    </row>
    <row r="16" spans="1:14" s="17" customFormat="1" ht="30" customHeight="1">
      <c r="A16" s="359"/>
      <c r="B16" s="47" t="s">
        <v>87</v>
      </c>
      <c r="C16" s="372" t="s">
        <v>88</v>
      </c>
      <c r="D16" s="373"/>
      <c r="E16" s="374"/>
      <c r="F16" s="82">
        <v>45396</v>
      </c>
      <c r="G16" s="44" t="s">
        <v>42</v>
      </c>
      <c r="H16" s="44" t="s">
        <v>60</v>
      </c>
      <c r="I16" s="44" t="s">
        <v>39</v>
      </c>
      <c r="J16" s="46">
        <v>139048</v>
      </c>
      <c r="K16" s="83"/>
      <c r="L16" s="83"/>
      <c r="M16" s="116">
        <v>3735</v>
      </c>
    </row>
    <row r="17" spans="1:13" s="17" customFormat="1" ht="30" customHeight="1">
      <c r="A17" s="359"/>
      <c r="B17" s="47" t="s">
        <v>89</v>
      </c>
      <c r="C17" s="372" t="s">
        <v>90</v>
      </c>
      <c r="D17" s="373"/>
      <c r="E17" s="374"/>
      <c r="F17" s="82">
        <v>45408</v>
      </c>
      <c r="G17" s="44" t="s">
        <v>42</v>
      </c>
      <c r="H17" s="44" t="s">
        <v>60</v>
      </c>
      <c r="I17" s="44" t="s">
        <v>39</v>
      </c>
      <c r="J17" s="46">
        <v>619048</v>
      </c>
      <c r="K17" s="83"/>
      <c r="L17" s="83"/>
      <c r="M17" s="116">
        <v>4905</v>
      </c>
    </row>
    <row r="18" spans="1:13" s="17" customFormat="1" ht="30" customHeight="1">
      <c r="A18" s="359"/>
      <c r="B18" s="47" t="s">
        <v>91</v>
      </c>
      <c r="C18" s="372" t="s">
        <v>92</v>
      </c>
      <c r="D18" s="373"/>
      <c r="E18" s="374"/>
      <c r="F18" s="82">
        <v>45519</v>
      </c>
      <c r="G18" s="44" t="s">
        <v>42</v>
      </c>
      <c r="H18" s="44" t="s">
        <v>60</v>
      </c>
      <c r="I18" s="44" t="s">
        <v>39</v>
      </c>
      <c r="J18" s="46">
        <v>352381</v>
      </c>
      <c r="K18" s="83"/>
      <c r="L18" s="83"/>
      <c r="M18" s="116">
        <v>4538</v>
      </c>
    </row>
    <row r="19" spans="1:13" s="17" customFormat="1" ht="30" customHeight="1">
      <c r="A19" s="359"/>
      <c r="B19" s="363" t="s">
        <v>132</v>
      </c>
      <c r="C19" s="372" t="s">
        <v>93</v>
      </c>
      <c r="D19" s="373"/>
      <c r="E19" s="374"/>
      <c r="F19" s="45" t="s">
        <v>94</v>
      </c>
      <c r="G19" s="44" t="s">
        <v>42</v>
      </c>
      <c r="H19" s="44" t="s">
        <v>65</v>
      </c>
      <c r="I19" s="44" t="s">
        <v>60</v>
      </c>
      <c r="J19" s="175">
        <v>943283</v>
      </c>
      <c r="K19" s="115">
        <v>4626</v>
      </c>
      <c r="L19" s="83"/>
      <c r="M19" s="87"/>
    </row>
    <row r="20" spans="1:13" s="17" customFormat="1" ht="30" customHeight="1">
      <c r="A20" s="359"/>
      <c r="B20" s="363"/>
      <c r="C20" s="372" t="s">
        <v>95</v>
      </c>
      <c r="D20" s="373"/>
      <c r="E20" s="374"/>
      <c r="F20" s="45" t="s">
        <v>96</v>
      </c>
      <c r="G20" s="44" t="s">
        <v>42</v>
      </c>
      <c r="H20" s="44" t="s">
        <v>60</v>
      </c>
      <c r="I20" s="44" t="s">
        <v>65</v>
      </c>
      <c r="J20" s="175">
        <v>658350</v>
      </c>
      <c r="K20" s="83"/>
      <c r="L20" s="115">
        <v>6978</v>
      </c>
      <c r="M20" s="87"/>
    </row>
    <row r="21" spans="1:13" s="17" customFormat="1" ht="30" customHeight="1">
      <c r="A21" s="359"/>
      <c r="B21" s="363"/>
      <c r="C21" s="372" t="s">
        <v>97</v>
      </c>
      <c r="D21" s="373"/>
      <c r="E21" s="374"/>
      <c r="F21" s="45" t="s">
        <v>98</v>
      </c>
      <c r="G21" s="44" t="s">
        <v>99</v>
      </c>
      <c r="H21" s="44" t="s">
        <v>60</v>
      </c>
      <c r="I21" s="44" t="s">
        <v>65</v>
      </c>
      <c r="J21" s="175">
        <v>5578141</v>
      </c>
      <c r="K21" s="83"/>
      <c r="L21" s="115">
        <v>35558</v>
      </c>
      <c r="M21" s="87"/>
    </row>
    <row r="22" spans="1:13" s="17" customFormat="1" ht="30" customHeight="1">
      <c r="A22" s="359"/>
      <c r="B22" s="363"/>
      <c r="C22" s="372" t="s">
        <v>100</v>
      </c>
      <c r="D22" s="373"/>
      <c r="E22" s="374"/>
      <c r="F22" s="82">
        <v>45595</v>
      </c>
      <c r="G22" s="44" t="s">
        <v>81</v>
      </c>
      <c r="H22" s="44" t="s">
        <v>60</v>
      </c>
      <c r="I22" s="44" t="s">
        <v>39</v>
      </c>
      <c r="J22" s="46">
        <v>511929</v>
      </c>
      <c r="K22" s="83"/>
      <c r="L22" s="83"/>
      <c r="M22" s="116">
        <v>7702</v>
      </c>
    </row>
    <row r="23" spans="1:13" s="17" customFormat="1" ht="30" customHeight="1">
      <c r="A23" s="359"/>
      <c r="B23" s="363"/>
      <c r="C23" s="372" t="s">
        <v>101</v>
      </c>
      <c r="D23" s="373"/>
      <c r="E23" s="374"/>
      <c r="F23" s="82">
        <v>45631</v>
      </c>
      <c r="G23" s="44" t="s">
        <v>102</v>
      </c>
      <c r="H23" s="44" t="s">
        <v>60</v>
      </c>
      <c r="I23" s="44" t="s">
        <v>65</v>
      </c>
      <c r="J23" s="175">
        <v>723855</v>
      </c>
      <c r="K23" s="83"/>
      <c r="L23" s="115">
        <v>5026</v>
      </c>
      <c r="M23" s="87"/>
    </row>
    <row r="24" spans="1:13" s="17" customFormat="1" ht="30" customHeight="1" thickBot="1">
      <c r="A24" s="360"/>
      <c r="B24" s="364"/>
      <c r="C24" s="387" t="s">
        <v>103</v>
      </c>
      <c r="D24" s="388"/>
      <c r="E24" s="389"/>
      <c r="F24" s="92">
        <v>45653</v>
      </c>
      <c r="G24" s="91" t="s">
        <v>104</v>
      </c>
      <c r="H24" s="91" t="s">
        <v>60</v>
      </c>
      <c r="I24" s="91" t="s">
        <v>65</v>
      </c>
      <c r="J24" s="176">
        <v>1949046</v>
      </c>
      <c r="K24" s="100"/>
      <c r="L24" s="117">
        <v>16816</v>
      </c>
      <c r="M24" s="95"/>
    </row>
    <row r="25" spans="1:13" s="17" customFormat="1" ht="30" customHeight="1">
      <c r="A25" s="361" t="s">
        <v>130</v>
      </c>
      <c r="B25" s="55" t="s">
        <v>126</v>
      </c>
      <c r="C25" s="381" t="s">
        <v>105</v>
      </c>
      <c r="D25" s="382"/>
      <c r="E25" s="383"/>
      <c r="F25" s="85">
        <v>45504</v>
      </c>
      <c r="G25" s="84" t="s">
        <v>41</v>
      </c>
      <c r="H25" s="84" t="s">
        <v>60</v>
      </c>
      <c r="I25" s="84" t="s">
        <v>39</v>
      </c>
      <c r="J25" s="96">
        <v>228571</v>
      </c>
      <c r="K25" s="86"/>
      <c r="L25" s="118">
        <v>2212</v>
      </c>
      <c r="M25" s="97"/>
    </row>
    <row r="26" spans="1:13" s="17" customFormat="1" ht="30" customHeight="1">
      <c r="A26" s="359"/>
      <c r="B26" s="47" t="s">
        <v>127</v>
      </c>
      <c r="C26" s="372" t="s">
        <v>106</v>
      </c>
      <c r="D26" s="373"/>
      <c r="E26" s="374"/>
      <c r="F26" s="82">
        <v>45564</v>
      </c>
      <c r="G26" s="44" t="s">
        <v>0</v>
      </c>
      <c r="H26" s="44" t="s">
        <v>60</v>
      </c>
      <c r="I26" s="44" t="s">
        <v>39</v>
      </c>
      <c r="J26" s="46">
        <v>619048</v>
      </c>
      <c r="K26" s="83"/>
      <c r="L26" s="115">
        <v>5407</v>
      </c>
      <c r="M26" s="87"/>
    </row>
    <row r="27" spans="1:13" s="17" customFormat="1" ht="30" customHeight="1">
      <c r="A27" s="359"/>
      <c r="B27" s="47" t="s">
        <v>128</v>
      </c>
      <c r="C27" s="372" t="s">
        <v>107</v>
      </c>
      <c r="D27" s="373"/>
      <c r="E27" s="374"/>
      <c r="F27" s="82">
        <v>45648</v>
      </c>
      <c r="G27" s="44" t="s">
        <v>108</v>
      </c>
      <c r="H27" s="44" t="s">
        <v>60</v>
      </c>
      <c r="I27" s="44" t="s">
        <v>39</v>
      </c>
      <c r="J27" s="46">
        <v>923810</v>
      </c>
      <c r="K27" s="83"/>
      <c r="L27" s="115">
        <v>5469</v>
      </c>
      <c r="M27" s="87"/>
    </row>
    <row r="28" spans="1:13" s="17" customFormat="1" ht="30" customHeight="1" thickBot="1">
      <c r="A28" s="360"/>
      <c r="B28" s="101" t="s">
        <v>129</v>
      </c>
      <c r="C28" s="387" t="s">
        <v>109</v>
      </c>
      <c r="D28" s="388"/>
      <c r="E28" s="389"/>
      <c r="F28" s="92">
        <v>45652</v>
      </c>
      <c r="G28" s="91" t="s">
        <v>108</v>
      </c>
      <c r="H28" s="91" t="s">
        <v>60</v>
      </c>
      <c r="I28" s="91" t="s">
        <v>39</v>
      </c>
      <c r="J28" s="99">
        <v>438095</v>
      </c>
      <c r="K28" s="100"/>
      <c r="L28" s="117">
        <v>3262</v>
      </c>
      <c r="M28" s="95"/>
    </row>
    <row r="29" spans="1:13" s="17" customFormat="1" ht="30" customHeight="1">
      <c r="A29" s="361" t="s">
        <v>119</v>
      </c>
      <c r="B29" s="55" t="s">
        <v>120</v>
      </c>
      <c r="C29" s="381" t="s">
        <v>110</v>
      </c>
      <c r="D29" s="382"/>
      <c r="E29" s="383"/>
      <c r="F29" s="85">
        <v>45379</v>
      </c>
      <c r="G29" s="84" t="s">
        <v>41</v>
      </c>
      <c r="H29" s="84" t="s">
        <v>60</v>
      </c>
      <c r="I29" s="84" t="s">
        <v>39</v>
      </c>
      <c r="J29" s="96">
        <v>72545</v>
      </c>
      <c r="K29" s="86"/>
      <c r="L29" s="86"/>
      <c r="M29" s="119">
        <v>2045</v>
      </c>
    </row>
    <row r="30" spans="1:13" s="17" customFormat="1" ht="30" customHeight="1">
      <c r="A30" s="359"/>
      <c r="B30" s="47" t="s">
        <v>121</v>
      </c>
      <c r="C30" s="372" t="s">
        <v>111</v>
      </c>
      <c r="D30" s="373"/>
      <c r="E30" s="374"/>
      <c r="F30" s="45" t="s">
        <v>112</v>
      </c>
      <c r="G30" s="44" t="s">
        <v>113</v>
      </c>
      <c r="H30" s="44" t="s">
        <v>60</v>
      </c>
      <c r="I30" s="44" t="s">
        <v>39</v>
      </c>
      <c r="J30" s="46">
        <v>304762</v>
      </c>
      <c r="K30" s="83"/>
      <c r="L30" s="115">
        <v>2993</v>
      </c>
      <c r="M30" s="116"/>
    </row>
    <row r="31" spans="1:13" s="17" customFormat="1" ht="30" customHeight="1">
      <c r="A31" s="359"/>
      <c r="B31" s="47" t="s">
        <v>122</v>
      </c>
      <c r="C31" s="372" t="s">
        <v>114</v>
      </c>
      <c r="D31" s="373"/>
      <c r="E31" s="374"/>
      <c r="F31" s="82">
        <v>45411</v>
      </c>
      <c r="G31" s="44" t="s">
        <v>39</v>
      </c>
      <c r="H31" s="44" t="s">
        <v>60</v>
      </c>
      <c r="I31" s="44" t="s">
        <v>39</v>
      </c>
      <c r="J31" s="46">
        <v>8798</v>
      </c>
      <c r="K31" s="83"/>
      <c r="L31" s="83"/>
      <c r="M31" s="114">
        <v>203</v>
      </c>
    </row>
    <row r="32" spans="1:13" s="17" customFormat="1" ht="30" customHeight="1">
      <c r="A32" s="359"/>
      <c r="B32" s="47" t="s">
        <v>123</v>
      </c>
      <c r="C32" s="384" t="s">
        <v>115</v>
      </c>
      <c r="D32" s="385"/>
      <c r="E32" s="386"/>
      <c r="F32" s="45" t="s">
        <v>116</v>
      </c>
      <c r="G32" s="44" t="s">
        <v>75</v>
      </c>
      <c r="H32" s="44" t="s">
        <v>60</v>
      </c>
      <c r="I32" s="44" t="s">
        <v>39</v>
      </c>
      <c r="J32" s="175">
        <v>1375530</v>
      </c>
      <c r="K32" s="83"/>
      <c r="L32" s="115">
        <v>11424</v>
      </c>
      <c r="M32" s="87"/>
    </row>
    <row r="33" spans="1:13" s="17" customFormat="1" ht="30" customHeight="1">
      <c r="A33" s="359"/>
      <c r="B33" s="47" t="s">
        <v>124</v>
      </c>
      <c r="C33" s="372" t="s">
        <v>117</v>
      </c>
      <c r="D33" s="373"/>
      <c r="E33" s="374"/>
      <c r="F33" s="82">
        <v>45432</v>
      </c>
      <c r="G33" s="44" t="s">
        <v>39</v>
      </c>
      <c r="H33" s="44" t="s">
        <v>60</v>
      </c>
      <c r="I33" s="44" t="s">
        <v>39</v>
      </c>
      <c r="J33" s="46">
        <v>6153</v>
      </c>
      <c r="K33" s="83"/>
      <c r="L33" s="83"/>
      <c r="M33" s="114">
        <v>168</v>
      </c>
    </row>
    <row r="34" spans="1:13" s="17" customFormat="1" ht="30" customHeight="1" thickBot="1">
      <c r="A34" s="362"/>
      <c r="B34" s="56" t="s">
        <v>125</v>
      </c>
      <c r="C34" s="387" t="s">
        <v>118</v>
      </c>
      <c r="D34" s="388"/>
      <c r="E34" s="389"/>
      <c r="F34" s="89">
        <v>45453</v>
      </c>
      <c r="G34" s="88" t="s">
        <v>39</v>
      </c>
      <c r="H34" s="88" t="s">
        <v>60</v>
      </c>
      <c r="I34" s="88" t="s">
        <v>39</v>
      </c>
      <c r="J34" s="57">
        <v>10523</v>
      </c>
      <c r="K34" s="98"/>
      <c r="L34" s="98"/>
      <c r="M34" s="120">
        <v>248</v>
      </c>
    </row>
    <row r="35" spans="1:13" s="17" customFormat="1" ht="30" customHeight="1">
      <c r="A35" s="315" t="s">
        <v>50</v>
      </c>
      <c r="B35" s="316"/>
      <c r="C35" s="316"/>
      <c r="D35" s="316"/>
      <c r="E35" s="316"/>
      <c r="F35" s="316"/>
      <c r="G35" s="316"/>
      <c r="H35" s="316"/>
      <c r="I35" s="316"/>
      <c r="J35" s="323">
        <f>SUM(J6:J34)-(J7*0.3)-(J19*0.5)-(J21*0.3)-(J20*0.3)-(J23*0.3)-(J24*0.3)-(J32*0.5)</f>
        <v>17920521.399999999</v>
      </c>
      <c r="K35" s="323"/>
      <c r="L35" s="323"/>
      <c r="M35" s="324"/>
    </row>
    <row r="36" spans="1:13" s="17" customFormat="1" ht="30" customHeight="1">
      <c r="A36" s="349" t="s">
        <v>134</v>
      </c>
      <c r="B36" s="350"/>
      <c r="C36" s="350"/>
      <c r="D36" s="350"/>
      <c r="E36" s="350"/>
      <c r="F36" s="350"/>
      <c r="G36" s="350"/>
      <c r="H36" s="350"/>
      <c r="I36" s="351"/>
      <c r="J36" s="355">
        <f>J35*0.0005</f>
        <v>8960.2606999999989</v>
      </c>
      <c r="K36" s="356"/>
      <c r="L36" s="356"/>
      <c r="M36" s="357"/>
    </row>
    <row r="37" spans="1:13" s="17" customFormat="1" ht="30" customHeight="1">
      <c r="A37" s="303" t="s">
        <v>135</v>
      </c>
      <c r="B37" s="304"/>
      <c r="C37" s="304"/>
      <c r="D37" s="304"/>
      <c r="E37" s="304"/>
      <c r="F37" s="304"/>
      <c r="G37" s="304"/>
      <c r="H37" s="304"/>
      <c r="I37" s="304"/>
      <c r="J37" s="18">
        <f>J36</f>
        <v>8960.2606999999989</v>
      </c>
      <c r="K37" s="18">
        <f>SUM(K6:K34)</f>
        <v>8564</v>
      </c>
      <c r="L37" s="18">
        <f t="shared" ref="L37:M37" si="0">SUM(L6:L34)</f>
        <v>118046</v>
      </c>
      <c r="M37" s="58">
        <f t="shared" si="0"/>
        <v>44753</v>
      </c>
    </row>
    <row r="38" spans="1:13" s="17" customFormat="1" ht="30" customHeight="1" thickBot="1">
      <c r="A38" s="352" t="s">
        <v>27</v>
      </c>
      <c r="B38" s="353"/>
      <c r="C38" s="353"/>
      <c r="D38" s="353"/>
      <c r="E38" s="353"/>
      <c r="F38" s="353"/>
      <c r="G38" s="353"/>
      <c r="H38" s="353"/>
      <c r="I38" s="354"/>
      <c r="J38" s="283">
        <f>SUM(J37:M37)</f>
        <v>180323.26069999998</v>
      </c>
      <c r="K38" s="284"/>
      <c r="L38" s="284"/>
      <c r="M38" s="285"/>
    </row>
    <row r="39" spans="1:13" s="17" customFormat="1" ht="30" customHeight="1">
      <c r="A39" s="297" t="s">
        <v>234</v>
      </c>
      <c r="B39" s="298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</row>
    <row r="40" spans="1:13" s="17" customFormat="1" ht="30" customHeight="1">
      <c r="A40" s="300" t="s">
        <v>133</v>
      </c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</row>
    <row r="41" spans="1:13" s="17" customFormat="1" ht="30" customHeight="1">
      <c r="A41" s="301" t="s">
        <v>235</v>
      </c>
      <c r="B41" s="302"/>
      <c r="C41" s="302"/>
      <c r="D41" s="302"/>
      <c r="E41" s="302"/>
      <c r="F41" s="302"/>
      <c r="G41" s="302"/>
      <c r="H41" s="302"/>
      <c r="I41" s="302"/>
      <c r="J41" s="302"/>
      <c r="K41" s="302"/>
      <c r="L41" s="302"/>
      <c r="M41" s="302"/>
    </row>
    <row r="42" spans="1:13" ht="30" customHeight="1">
      <c r="A42" s="371" t="s">
        <v>52</v>
      </c>
      <c r="B42" s="371"/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</row>
    <row r="43" spans="1:13" ht="30" customHeight="1">
      <c r="A43" s="180" t="s">
        <v>242</v>
      </c>
      <c r="B43" s="180"/>
      <c r="C43" s="180"/>
      <c r="D43" s="180"/>
      <c r="E43" s="180"/>
      <c r="F43" s="180"/>
      <c r="G43" s="180"/>
      <c r="H43" s="178"/>
      <c r="I43" s="167"/>
      <c r="J43" s="167"/>
      <c r="K43" s="167"/>
      <c r="L43" s="167"/>
      <c r="M43" s="167"/>
    </row>
    <row r="44" spans="1:13" ht="30" customHeight="1">
      <c r="A44" s="181" t="s">
        <v>243</v>
      </c>
      <c r="B44" s="181"/>
      <c r="C44" s="181"/>
      <c r="D44" s="181"/>
      <c r="E44" s="181"/>
      <c r="F44" s="181"/>
      <c r="G44" s="181"/>
      <c r="H44" s="179"/>
    </row>
    <row r="45" spans="1:13" ht="30" customHeight="1">
      <c r="A45" s="181" t="s">
        <v>244</v>
      </c>
      <c r="B45" s="181"/>
      <c r="C45" s="181"/>
      <c r="D45" s="181"/>
      <c r="E45" s="181"/>
      <c r="F45" s="181"/>
      <c r="G45" s="181"/>
      <c r="H45" s="179"/>
    </row>
    <row r="46" spans="1:13" ht="30" customHeight="1" thickBot="1">
      <c r="A46" s="181"/>
      <c r="B46" s="181"/>
      <c r="C46" s="181"/>
      <c r="D46" s="181"/>
      <c r="E46" s="181"/>
      <c r="F46" s="181"/>
      <c r="G46" s="181"/>
      <c r="H46" s="179"/>
      <c r="J46" s="4" t="s">
        <v>10</v>
      </c>
      <c r="K46" s="5"/>
      <c r="L46" s="5"/>
      <c r="M46" s="5"/>
    </row>
    <row r="47" spans="1:13" ht="22" customHeight="1">
      <c r="J47" s="4"/>
      <c r="K47" s="177"/>
      <c r="L47" s="177"/>
      <c r="M47" s="177"/>
    </row>
    <row r="48" spans="1:13" ht="22" customHeight="1"/>
    <row r="49" ht="22" customHeight="1"/>
    <row r="50" ht="22" customHeight="1"/>
  </sheetData>
  <mergeCells count="47">
    <mergeCell ref="C31:E31"/>
    <mergeCell ref="C32:E32"/>
    <mergeCell ref="C33:E33"/>
    <mergeCell ref="C34:E34"/>
    <mergeCell ref="C5:E5"/>
    <mergeCell ref="C26:E26"/>
    <mergeCell ref="C27:E27"/>
    <mergeCell ref="C28:E28"/>
    <mergeCell ref="C29:E29"/>
    <mergeCell ref="C30:E30"/>
    <mergeCell ref="C21:E21"/>
    <mergeCell ref="C22:E22"/>
    <mergeCell ref="C23:E23"/>
    <mergeCell ref="C24:E24"/>
    <mergeCell ref="C25:E25"/>
    <mergeCell ref="C16:E16"/>
    <mergeCell ref="C10:E10"/>
    <mergeCell ref="C17:E17"/>
    <mergeCell ref="C18:E18"/>
    <mergeCell ref="C19:E19"/>
    <mergeCell ref="C20:E20"/>
    <mergeCell ref="C11:E11"/>
    <mergeCell ref="C12:E12"/>
    <mergeCell ref="C13:E13"/>
    <mergeCell ref="C14:E14"/>
    <mergeCell ref="C15:E15"/>
    <mergeCell ref="A39:M39"/>
    <mergeCell ref="A40:M40"/>
    <mergeCell ref="A41:M41"/>
    <mergeCell ref="A42:M42"/>
    <mergeCell ref="A37:I37"/>
    <mergeCell ref="A4:M4"/>
    <mergeCell ref="J35:M35"/>
    <mergeCell ref="A35:I35"/>
    <mergeCell ref="A36:I36"/>
    <mergeCell ref="A38:I38"/>
    <mergeCell ref="J36:M36"/>
    <mergeCell ref="J38:M38"/>
    <mergeCell ref="A6:A13"/>
    <mergeCell ref="A29:A34"/>
    <mergeCell ref="A25:A28"/>
    <mergeCell ref="A14:A24"/>
    <mergeCell ref="B19:B24"/>
    <mergeCell ref="C6:E6"/>
    <mergeCell ref="C7:E7"/>
    <mergeCell ref="C8:E8"/>
    <mergeCell ref="C9:E9"/>
  </mergeCells>
  <phoneticPr fontId="2" type="noConversion"/>
  <printOptions horizontalCentered="1"/>
  <pageMargins left="0.23622047244094491" right="0.23622047244094491" top="0.11811023622047245" bottom="0.11811023622047245" header="0" footer="0"/>
  <pageSetup paperSize="9" scale="4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總表</vt:lpstr>
      <vt:lpstr>Annie</vt:lpstr>
      <vt:lpstr>Giselle</vt:lpstr>
      <vt:lpstr>Kelly</vt:lpstr>
      <vt:lpstr>Jasmine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2024-02-19T03:08:16Z</cp:lastPrinted>
  <dcterms:created xsi:type="dcterms:W3CDTF">2020-01-20T11:14:28Z</dcterms:created>
  <dcterms:modified xsi:type="dcterms:W3CDTF">2025-01-24T08:36:21Z</dcterms:modified>
</cp:coreProperties>
</file>