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3 財務會計\04 人資相關\02 員工相關\01 員工薪資\02 Lina\2025年度\"/>
    </mc:Choice>
  </mc:AlternateContent>
  <bookViews>
    <workbookView xWindow="-105" yWindow="-105" windowWidth="23265" windowHeight="14040" tabRatio="839"/>
  </bookViews>
  <sheets>
    <sheet name="總表" sheetId="1" r:id="rId1"/>
    <sheet name="Annie" sheetId="3" r:id="rId2"/>
    <sheet name="Susan" sheetId="10" r:id="rId3"/>
    <sheet name="Jacky" sheetId="11" r:id="rId4"/>
    <sheet name="Teren" sheetId="13" r:id="rId5"/>
    <sheet name="Jasmine" sheetId="8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33" i="3" l="1"/>
  <c r="H20" i="3"/>
  <c r="H19" i="10" l="1"/>
  <c r="J34" i="8"/>
  <c r="H23" i="13" l="1"/>
  <c r="H28" i="11" l="1"/>
  <c r="M36" i="8" l="1"/>
  <c r="K30" i="11"/>
  <c r="K25" i="13"/>
  <c r="J25" i="13"/>
  <c r="L25" i="13"/>
  <c r="I25" i="13"/>
  <c r="J30" i="11"/>
  <c r="L30" i="11"/>
  <c r="I30" i="11"/>
  <c r="J18" i="10"/>
  <c r="K18" i="10"/>
  <c r="L18" i="10"/>
  <c r="I18" i="10"/>
  <c r="H16" i="10"/>
  <c r="J35" i="8"/>
  <c r="L36" i="8"/>
  <c r="K36" i="8"/>
  <c r="H25" i="13" l="1"/>
  <c r="H30" i="11"/>
  <c r="J4" i="1"/>
  <c r="J5" i="1"/>
  <c r="J6" i="1"/>
  <c r="H31" i="11" l="1"/>
  <c r="F2" i="11" s="1"/>
  <c r="I2" i="11" s="1"/>
  <c r="H26" i="13"/>
  <c r="F2" i="13" s="1"/>
  <c r="I2" i="13" s="1"/>
  <c r="H18" i="10" l="1"/>
  <c r="F2" i="10" l="1"/>
  <c r="I58" i="3"/>
  <c r="J36" i="8" l="1"/>
  <c r="J37" i="8" s="1"/>
  <c r="J58" i="3"/>
  <c r="I59" i="3" s="1"/>
  <c r="J7" i="1"/>
  <c r="I2" i="10"/>
  <c r="F2" i="8" l="1"/>
  <c r="I2" i="8" s="1"/>
  <c r="J2" i="1" l="1"/>
  <c r="J3" i="1" l="1"/>
  <c r="J8" i="1" s="1"/>
  <c r="I2" i="3" l="1"/>
</calcChain>
</file>

<file path=xl/comments1.xml><?xml version="1.0" encoding="utf-8"?>
<comments xmlns="http://schemas.openxmlformats.org/spreadsheetml/2006/main">
  <authors>
    <author>user</author>
  </authors>
  <commentList>
    <comment ref="C3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調薪：108/10/01 $38000                    　    調薪：113/05/01 $40000</t>
        </r>
      </text>
    </comment>
    <comment ref="C4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
調薪：113/05/01 $41000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調薪：108/08/01 $35000
調薪：108/10/01 $38000                    　    調薪：113/05/01 $40000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B2" authorId="0" shapeId="0">
      <text>
        <r>
          <rPr>
            <sz val="8"/>
            <color indexed="81"/>
            <rFont val="微軟正黑體"/>
            <family val="2"/>
            <charset val="136"/>
          </rPr>
          <t>調薪：111/02/01 $36000
調薪：112/02/01 $37000
調薪：112/07/01 $39000
調薪：113/05/01 $41000</t>
        </r>
      </text>
    </comment>
  </commentList>
</comments>
</file>

<file path=xl/sharedStrings.xml><?xml version="1.0" encoding="utf-8"?>
<sst xmlns="http://schemas.openxmlformats.org/spreadsheetml/2006/main" count="837" uniqueCount="201">
  <si>
    <t>Annie</t>
  </si>
  <si>
    <t>黃筱庭</t>
    <phoneticPr fontId="2" type="noConversion"/>
  </si>
  <si>
    <t>Jasmine</t>
    <phoneticPr fontId="2" type="noConversion"/>
  </si>
  <si>
    <t>姓名</t>
  </si>
  <si>
    <t>到職日</t>
    <phoneticPr fontId="2" type="noConversion"/>
  </si>
  <si>
    <t>小計</t>
    <phoneticPr fontId="2" type="noConversion"/>
  </si>
  <si>
    <t>周義惠</t>
    <phoneticPr fontId="2" type="noConversion"/>
  </si>
  <si>
    <t>到職天數</t>
    <phoneticPr fontId="2" type="noConversion"/>
  </si>
  <si>
    <t>月薪</t>
    <phoneticPr fontId="2" type="noConversion"/>
  </si>
  <si>
    <t>業績獎金</t>
    <phoneticPr fontId="2" type="noConversion"/>
  </si>
  <si>
    <t>專案簽名</t>
    <phoneticPr fontId="2" type="noConversion"/>
  </si>
  <si>
    <t>羅臻</t>
    <phoneticPr fontId="2" type="noConversion"/>
  </si>
  <si>
    <t>Lina</t>
    <phoneticPr fontId="2" type="noConversion"/>
  </si>
  <si>
    <t>執行長</t>
    <phoneticPr fontId="2" type="noConversion"/>
  </si>
  <si>
    <t>N/A</t>
    <phoneticPr fontId="2" type="noConversion"/>
  </si>
  <si>
    <t>專案</t>
  </si>
  <si>
    <t>案號</t>
  </si>
  <si>
    <t>專案名稱</t>
  </si>
  <si>
    <t>活動日期</t>
  </si>
  <si>
    <t>協助專案</t>
  </si>
  <si>
    <t>專案未稅金額</t>
  </si>
  <si>
    <t>獎金5%</t>
  </si>
  <si>
    <t>保底獎金</t>
    <phoneticPr fontId="2" type="noConversion"/>
  </si>
  <si>
    <t>特殊獎金</t>
    <phoneticPr fontId="2" type="noConversion"/>
  </si>
  <si>
    <t>支援獎金</t>
    <phoneticPr fontId="2" type="noConversion"/>
  </si>
  <si>
    <t>總計</t>
    <phoneticPr fontId="2" type="noConversion"/>
  </si>
  <si>
    <t>姓名</t>
    <phoneticPr fontId="2" type="noConversion"/>
  </si>
  <si>
    <t>獎金總計</t>
  </si>
  <si>
    <t>專案獎金</t>
    <phoneticPr fontId="2" type="noConversion"/>
  </si>
  <si>
    <t>到職日</t>
    <phoneticPr fontId="2" type="noConversion"/>
  </si>
  <si>
    <t>Annie獎金</t>
    <phoneticPr fontId="2" type="noConversion"/>
  </si>
  <si>
    <t>Jasmine總業績量</t>
    <phoneticPr fontId="2" type="noConversion"/>
  </si>
  <si>
    <t>※計算方式專案 100%業績+支援業績50%百萬以下無條件捨棄</t>
    <phoneticPr fontId="2" type="noConversion"/>
  </si>
  <si>
    <t>※業績達標800萬起以比例提撥獎金 ，總業績金額無條件捨去百萬以下乘以0.0005計算</t>
    <phoneticPr fontId="2" type="noConversion"/>
  </si>
  <si>
    <t>※業績達標800萬起以比例提撥獎金 ，總業績金額無條件捨去百萬以下乘以0.001計算</t>
    <phoneticPr fontId="2" type="noConversion"/>
  </si>
  <si>
    <t>執行設計</t>
  </si>
  <si>
    <t>設計支援</t>
  </si>
  <si>
    <t>獎金2%</t>
  </si>
  <si>
    <t>獎金3%</t>
  </si>
  <si>
    <t>3% 主視覺設計+延伸設計+美工發包，專案包含其他活動但無設計製作物(晚宴、媒體、代收轉付高的費用)，或專案內有其他外發設計工作量一人一半</t>
  </si>
  <si>
    <t xml:space="preserve">業績達標獎金 </t>
    <phoneticPr fontId="2" type="noConversion"/>
  </si>
  <si>
    <t>Jasmine獎金</t>
    <phoneticPr fontId="2" type="noConversion"/>
  </si>
  <si>
    <t>獎金10%</t>
  </si>
  <si>
    <t>年度業績獎金</t>
    <phoneticPr fontId="2" type="noConversion"/>
  </si>
  <si>
    <t>2% 從外發拉案子回來設計，製作物數量很少，或專案內有其他外發設計</t>
    <phoneticPr fontId="2" type="noConversion"/>
  </si>
  <si>
    <t>5% 主視覺設計+延伸設計+美工發包+硬體發包，或純設計案</t>
    <phoneticPr fontId="2" type="noConversion"/>
  </si>
  <si>
    <t>其他獎金｜扣除</t>
    <phoneticPr fontId="2" type="noConversion"/>
  </si>
  <si>
    <t>扣除  0%的業績量， 設計主導的案子為主，通常是領5%獎金的案子</t>
    <phoneticPr fontId="2" type="noConversion"/>
  </si>
  <si>
    <t>扣除50%的業績量，外發設計的加入分擔的量 或 代收轉付案子多，通常是領3%獎金的案子</t>
    <phoneticPr fontId="2" type="noConversion"/>
  </si>
  <si>
    <t>扣除70%的業績量，外發設計的加入分擔的量 或 代收轉付案子多,通常是領2%獎金的案子</t>
    <phoneticPr fontId="2" type="noConversion"/>
  </si>
  <si>
    <t>楊韋襦</t>
    <phoneticPr fontId="2" type="noConversion"/>
  </si>
  <si>
    <t>黃傑穎</t>
    <phoneticPr fontId="2" type="noConversion"/>
  </si>
  <si>
    <t>張任</t>
    <phoneticPr fontId="2" type="noConversion"/>
  </si>
  <si>
    <t>Susan</t>
    <phoneticPr fontId="2" type="noConversion"/>
  </si>
  <si>
    <t>Jacky</t>
    <phoneticPr fontId="2" type="noConversion"/>
  </si>
  <si>
    <t>Teren</t>
    <phoneticPr fontId="2" type="noConversion"/>
  </si>
  <si>
    <t>Susan總業績量</t>
    <phoneticPr fontId="2" type="noConversion"/>
  </si>
  <si>
    <t>Jacky總業績量</t>
    <phoneticPr fontId="2" type="noConversion"/>
  </si>
  <si>
    <t>Teren總業績量</t>
    <phoneticPr fontId="2" type="noConversion"/>
  </si>
  <si>
    <t>Teren獎金</t>
    <phoneticPr fontId="2" type="noConversion"/>
  </si>
  <si>
    <t>Jacky獎金</t>
    <phoneticPr fontId="2" type="noConversion"/>
  </si>
  <si>
    <t>Susan獎金</t>
    <phoneticPr fontId="2" type="noConversion"/>
  </si>
  <si>
    <t>獎金1%</t>
    <phoneticPr fontId="2" type="noConversion"/>
  </si>
  <si>
    <t>其他獎金</t>
    <phoneticPr fontId="2" type="noConversion"/>
  </si>
  <si>
    <t>2025專案獎金分配表</t>
    <phoneticPr fontId="2" type="noConversion"/>
  </si>
  <si>
    <t>2025專案獎金分配表</t>
    <phoneticPr fontId="2" type="noConversion"/>
  </si>
  <si>
    <t>Lina (LL)</t>
  </si>
  <si>
    <t>LL250101</t>
  </si>
  <si>
    <t>2025 裕隆汽車尾牙</t>
  </si>
  <si>
    <t>Susan</t>
  </si>
  <si>
    <t>外發Book</t>
  </si>
  <si>
    <t>發包/進場Jasmine</t>
  </si>
  <si>
    <t>LL250102</t>
  </si>
  <si>
    <t>2024 台元嘉裕聯合尾牙</t>
  </si>
  <si>
    <t>AN / SU</t>
  </si>
  <si>
    <t>Jasmine</t>
  </si>
  <si>
    <t>N/A</t>
  </si>
  <si>
    <t>LL250103</t>
  </si>
  <si>
    <t>2024 裕隆建設尾牙</t>
  </si>
  <si>
    <t>AN</t>
  </si>
  <si>
    <t>外發Doris</t>
  </si>
  <si>
    <t>發包/追加Jasmine</t>
  </si>
  <si>
    <t>LL250104</t>
  </si>
  <si>
    <t>2025 裕隆經管執行長生日宴</t>
  </si>
  <si>
    <t>Teren</t>
  </si>
  <si>
    <t>發包Jasmine</t>
  </si>
  <si>
    <t>LL250105</t>
  </si>
  <si>
    <t>2024 納智捷尾牙</t>
  </si>
  <si>
    <t>Lina/ An</t>
  </si>
  <si>
    <t>LL250301</t>
  </si>
  <si>
    <t>2025 TAcc+SpaceTech 來臺落地培訓線上說明會</t>
  </si>
  <si>
    <t>Jacky</t>
  </si>
  <si>
    <t>LL250302</t>
  </si>
  <si>
    <t>2025 Luxlife X展架製作</t>
  </si>
  <si>
    <t>2025 TTA 國際展會徵案說明會</t>
  </si>
  <si>
    <t>LL250501</t>
  </si>
  <si>
    <t>2025 裕隆籃球三連霸慶功宴</t>
  </si>
  <si>
    <t>LL250601</t>
  </si>
  <si>
    <t>2025 Tacc 線上審查會</t>
  </si>
  <si>
    <t>05/28.06/03</t>
  </si>
  <si>
    <t>Vivian</t>
  </si>
  <si>
    <t>LL251001</t>
  </si>
  <si>
    <t>2025 裕隆永續行動專車</t>
  </si>
  <si>
    <t>10/31-12/16</t>
  </si>
  <si>
    <t>外發 小馨</t>
  </si>
  <si>
    <t>Jasmine/LOGO</t>
  </si>
  <si>
    <t>LL251002</t>
  </si>
  <si>
    <t>2025台北藝術週_圓山論壇與晚宴</t>
  </si>
  <si>
    <t>LL251201</t>
  </si>
  <si>
    <t>Viva Tech 2025｜展前說明會</t>
  </si>
  <si>
    <t>06/11-06/14</t>
  </si>
  <si>
    <t>Teren/Jacky</t>
  </si>
  <si>
    <t>外發Mindy</t>
  </si>
  <si>
    <t>Viva Tech 2025｜開幕活動 (含媒體)</t>
  </si>
  <si>
    <t>Viva Tech 2025｜媒合活動 Demo Show</t>
  </si>
  <si>
    <t>Viva Tech 2025｜媒合活動 Road Show</t>
  </si>
  <si>
    <t>2025 CES Bootcamp</t>
  </si>
  <si>
    <t>11/04-11/05</t>
  </si>
  <si>
    <t>CES 行前說明會</t>
  </si>
  <si>
    <t>CES 2025｜展前記者會</t>
  </si>
  <si>
    <t>2026/01/06-09</t>
  </si>
  <si>
    <t>CES 2025｜媒合活動 Unveiled (含媒體)</t>
  </si>
  <si>
    <t>CES 2025｜媒合活動 Demo Show</t>
  </si>
  <si>
    <t>Susan (SY)</t>
  </si>
  <si>
    <t>SY250501</t>
  </si>
  <si>
    <t>2025 TEH Invest &amp; Startup a Business in Taipei 設備借用</t>
  </si>
  <si>
    <t>SY250701</t>
  </si>
  <si>
    <t>2025 TMUxBExSCHS Demo Day</t>
  </si>
  <si>
    <t>外發Mindy
(主視覺調整)</t>
  </si>
  <si>
    <t>SY250901</t>
  </si>
  <si>
    <t>2025 StartSphere Taipei</t>
  </si>
  <si>
    <t>外發Book(主視覺調整、手冊設計)、小馨哥(初期平配)</t>
  </si>
  <si>
    <t>SY251001</t>
  </si>
  <si>
    <t>2025 歐盟創新週</t>
  </si>
  <si>
    <t>Jasmine
(舞台合圖)</t>
  </si>
  <si>
    <t>Jacky(JH)</t>
  </si>
  <si>
    <t>JY250801</t>
  </si>
  <si>
    <t>2025 TACC Welcome Party</t>
  </si>
  <si>
    <t>JY250802</t>
  </si>
  <si>
    <t>2025 國科會記者會</t>
  </si>
  <si>
    <t>JY250901</t>
  </si>
  <si>
    <t>2025 TACC 成果分享會</t>
  </si>
  <si>
    <t>JY250902</t>
  </si>
  <si>
    <t>2025 TTA 創投論壇</t>
  </si>
  <si>
    <t>JY251001</t>
  </si>
  <si>
    <t>2025 印度二輪廠商Ather Energy 品牌活動</t>
  </si>
  <si>
    <t>10/13-10/14</t>
  </si>
  <si>
    <t>JY251202</t>
  </si>
  <si>
    <t>2025 新創產業趨勢交流與創新科技展示交流活動</t>
  </si>
  <si>
    <t>12月~1月</t>
  </si>
  <si>
    <t>2025 TAcc 手拉旗製作</t>
  </si>
  <si>
    <t>JY251203</t>
  </si>
  <si>
    <t>2025 產科新創餐敘</t>
  </si>
  <si>
    <t>Jasmine/Doris</t>
  </si>
  <si>
    <t>Doris</t>
  </si>
  <si>
    <t>TC250101</t>
  </si>
  <si>
    <t>2024 裕隆日產尾牙藝人表演</t>
  </si>
  <si>
    <t>TC250401</t>
  </si>
  <si>
    <t>2025 工研院_地熱井疏濬裝置_模型製作</t>
  </si>
  <si>
    <t>TC250502</t>
  </si>
  <si>
    <t>2025_星展銀行工會園遊會</t>
  </si>
  <si>
    <t>Susan/Jacky</t>
  </si>
  <si>
    <t>TC250701</t>
  </si>
  <si>
    <t>2025 TTA場地_Deloitte活動紀錄</t>
  </si>
  <si>
    <t>TC251201</t>
  </si>
  <si>
    <t>2025晶創臺灣方案_禮品製作</t>
  </si>
  <si>
    <t>-</t>
  </si>
  <si>
    <t>Teren(TC)</t>
    <phoneticPr fontId="2" type="noConversion"/>
  </si>
  <si>
    <t>-</t>
    <phoneticPr fontId="2" type="noConversion"/>
  </si>
  <si>
    <t>Susan/Teren</t>
  </si>
  <si>
    <t>-</t>
    <phoneticPr fontId="2" type="noConversion"/>
  </si>
  <si>
    <t>協助無業績分成</t>
    <phoneticPr fontId="2" type="noConversion"/>
  </si>
  <si>
    <t>TTA 2025 國際展會年度行銷活動規劃與執行 第一期</t>
  </si>
  <si>
    <t>TTA 2025 國際展會年度行銷活動規劃與執行 第二期</t>
  </si>
  <si>
    <t>TTA 2025 國際展會年度行銷活動規劃與執行 第三期</t>
  </si>
  <si>
    <t>TTA x INX x iStaging</t>
  </si>
  <si>
    <t>TTA x NXP 新創鏈結活動</t>
  </si>
  <si>
    <t>CES 2025｜開幕活動 (含媒體)</t>
  </si>
  <si>
    <t>其他雜項</t>
  </si>
  <si>
    <t>TACC 實體暨線上會議活動</t>
  </si>
  <si>
    <t>Teren(TC)</t>
  </si>
  <si>
    <t>AC251202</t>
  </si>
  <si>
    <t>TTA 2024年度新創國內外行銷活動規劃與執行</t>
  </si>
  <si>
    <t>AC251203</t>
  </si>
  <si>
    <t>AC251208</t>
  </si>
  <si>
    <t>AC251213</t>
  </si>
  <si>
    <t>2025 TACC 交流會</t>
  </si>
  <si>
    <t>AC251214</t>
  </si>
  <si>
    <t>TTA 2025 國際展會年度行銷活動規劃與執行</t>
  </si>
  <si>
    <t>AC251215</t>
  </si>
  <si>
    <t>Annie(AC)</t>
    <phoneticPr fontId="2" type="noConversion"/>
  </si>
  <si>
    <t>06/11-2026/01/16</t>
  </si>
  <si>
    <t>01/01-12/31</t>
  </si>
  <si>
    <t>12/24-12/31</t>
  </si>
  <si>
    <t>12/11-12/31</t>
  </si>
  <si>
    <t>Annie/Jacky/Teren</t>
  </si>
  <si>
    <t>-</t>
    <phoneticPr fontId="2" type="noConversion"/>
  </si>
  <si>
    <t>-</t>
    <phoneticPr fontId="2" type="noConversion"/>
  </si>
  <si>
    <t>Susan (SY)</t>
    <phoneticPr fontId="2" type="noConversion"/>
  </si>
  <si>
    <t>Susan (SY)</t>
    <phoneticPr fontId="2" type="noConversion"/>
  </si>
  <si>
    <t>前期標單整理協助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</si>
</sst>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#,##0_);[Red]\(#,##0\)"/>
    <numFmt numFmtId="177" formatCode="[$-404]e/mm/dd;@"/>
    <numFmt numFmtId="178" formatCode="#,##0_ "/>
    <numFmt numFmtId="179" formatCode="m&quot;月&quot;d&quot;日&quot;"/>
  </numFmts>
  <fonts count="26"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8"/>
      <color indexed="8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12"/>
      <color rgb="FFFFFFFF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6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2"/>
      <color rgb="FFFFFFFF"/>
      <name val="Microsoft JhengHei"/>
      <family val="2"/>
      <charset val="136"/>
    </font>
    <font>
      <b/>
      <sz val="14"/>
      <color theme="8" tint="-0.249977111117893"/>
      <name val="微軟正黑體"/>
      <family val="2"/>
      <charset val="136"/>
    </font>
    <font>
      <sz val="12"/>
      <color rgb="FF000000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13"/>
      <color theme="1"/>
      <name val="Microsoft JhengHei"/>
      <family val="2"/>
      <charset val="136"/>
    </font>
    <font>
      <sz val="13"/>
      <color rgb="FF000000"/>
      <name val="Microsoft JhengHei"/>
      <family val="2"/>
      <charset val="136"/>
    </font>
    <font>
      <sz val="10"/>
      <color theme="1"/>
      <name val="Arial"/>
      <family val="2"/>
    </font>
    <font>
      <sz val="12"/>
      <color rgb="FFFF0000"/>
      <name val="Microsoft JhengHei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6D2DB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6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176" fontId="3" fillId="0" borderId="7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3" xfId="0" applyFont="1" applyBorder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76" fontId="3" fillId="6" borderId="1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76" fontId="16" fillId="3" borderId="11" xfId="0" applyNumberFormat="1" applyFont="1" applyFill="1" applyBorder="1" applyAlignment="1">
      <alignment horizontal="center" vertical="center"/>
    </xf>
    <xf numFmtId="176" fontId="3" fillId="6" borderId="5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6" fillId="0" borderId="0" xfId="0" applyFont="1" applyBorder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>
      <alignment vertical="center"/>
    </xf>
    <xf numFmtId="0" fontId="12" fillId="2" borderId="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3" fontId="3" fillId="2" borderId="16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179" fontId="20" fillId="11" borderId="1" xfId="0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14" fontId="20" fillId="11" borderId="1" xfId="0" applyNumberFormat="1" applyFont="1" applyFill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3" fontId="20" fillId="14" borderId="1" xfId="0" applyNumberFormat="1" applyFont="1" applyFill="1" applyBorder="1" applyAlignment="1">
      <alignment horizontal="center" vertical="center" wrapText="1"/>
    </xf>
    <xf numFmtId="3" fontId="20" fillId="6" borderId="1" xfId="0" applyNumberFormat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3" fontId="20" fillId="6" borderId="5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179" fontId="1" fillId="11" borderId="1" xfId="0" applyNumberFormat="1" applyFont="1" applyFill="1" applyBorder="1" applyAlignment="1">
      <alignment horizontal="center" vertical="center" wrapText="1"/>
    </xf>
    <xf numFmtId="3" fontId="1" fillId="14" borderId="1" xfId="0" applyNumberFormat="1" applyFont="1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>
      <alignment vertical="center"/>
    </xf>
    <xf numFmtId="4" fontId="3" fillId="0" borderId="0" xfId="0" applyNumberFormat="1" applyFont="1">
      <alignment vertical="center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25" fillId="11" borderId="1" xfId="0" applyNumberFormat="1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3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17" borderId="25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right" vertical="center"/>
    </xf>
    <xf numFmtId="0" fontId="17" fillId="3" borderId="18" xfId="0" applyFont="1" applyFill="1" applyBorder="1" applyAlignment="1">
      <alignment horizontal="right" vertical="center"/>
    </xf>
    <xf numFmtId="0" fontId="17" fillId="3" borderId="19" xfId="0" applyFont="1" applyFill="1" applyBorder="1" applyAlignment="1">
      <alignment horizontal="right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right" vertical="center" wrapText="1"/>
    </xf>
    <xf numFmtId="0" fontId="11" fillId="5" borderId="24" xfId="0" applyFont="1" applyFill="1" applyBorder="1" applyAlignment="1">
      <alignment horizontal="right" vertical="center"/>
    </xf>
    <xf numFmtId="0" fontId="11" fillId="5" borderId="16" xfId="0" applyFont="1" applyFill="1" applyBorder="1" applyAlignment="1">
      <alignment horizontal="right" vertical="center"/>
    </xf>
    <xf numFmtId="176" fontId="5" fillId="7" borderId="26" xfId="0" applyNumberFormat="1" applyFont="1" applyFill="1" applyBorder="1" applyAlignment="1">
      <alignment horizontal="center" vertical="center" wrapText="1"/>
    </xf>
    <xf numFmtId="176" fontId="5" fillId="7" borderId="27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3" fillId="11" borderId="35" xfId="0" applyFont="1" applyFill="1" applyBorder="1" applyAlignment="1">
      <alignment horizontal="center" vertical="center" wrapText="1"/>
    </xf>
    <xf numFmtId="0" fontId="13" fillId="11" borderId="33" xfId="0" applyFont="1" applyFill="1" applyBorder="1" applyAlignment="1">
      <alignment horizontal="center" vertical="center" wrapText="1"/>
    </xf>
    <xf numFmtId="0" fontId="13" fillId="11" borderId="36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10" xfId="0" applyNumberFormat="1" applyFont="1" applyBorder="1" applyAlignment="1">
      <alignment horizontal="center" vertical="center" wrapText="1"/>
    </xf>
    <xf numFmtId="3" fontId="13" fillId="0" borderId="16" xfId="0" applyNumberFormat="1" applyFont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0" xfId="0" applyNumberFormat="1" applyFont="1" applyFill="1" applyBorder="1" applyAlignment="1">
      <alignment horizontal="center" vertical="center" wrapText="1"/>
    </xf>
    <xf numFmtId="3" fontId="13" fillId="11" borderId="16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33" xfId="0" applyFont="1" applyFill="1" applyBorder="1" applyAlignment="1">
      <alignment horizontal="center" vertical="center"/>
    </xf>
    <xf numFmtId="0" fontId="11" fillId="8" borderId="34" xfId="0" applyFont="1" applyFill="1" applyBorder="1" applyAlignment="1">
      <alignment horizontal="center" vertical="center"/>
    </xf>
    <xf numFmtId="176" fontId="5" fillId="7" borderId="7" xfId="0" applyNumberFormat="1" applyFont="1" applyFill="1" applyBorder="1" applyAlignment="1">
      <alignment horizontal="center" vertical="center" wrapText="1"/>
    </xf>
    <xf numFmtId="176" fontId="5" fillId="7" borderId="8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right" vertical="center"/>
    </xf>
    <xf numFmtId="178" fontId="11" fillId="8" borderId="1" xfId="0" applyNumberFormat="1" applyFont="1" applyFill="1" applyBorder="1" applyAlignment="1">
      <alignment horizontal="center" vertical="center"/>
    </xf>
    <xf numFmtId="178" fontId="11" fillId="8" borderId="5" xfId="0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right" vertical="center"/>
    </xf>
    <xf numFmtId="178" fontId="11" fillId="9" borderId="1" xfId="0" applyNumberFormat="1" applyFont="1" applyFill="1" applyBorder="1" applyAlignment="1">
      <alignment horizontal="center" vertical="center"/>
    </xf>
    <xf numFmtId="178" fontId="11" fillId="9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1" fillId="9" borderId="32" xfId="0" applyFont="1" applyFill="1" applyBorder="1" applyAlignment="1">
      <alignment horizontal="right" vertical="center"/>
    </xf>
    <xf numFmtId="0" fontId="11" fillId="9" borderId="33" xfId="0" applyFont="1" applyFill="1" applyBorder="1" applyAlignment="1">
      <alignment horizontal="right" vertical="center"/>
    </xf>
    <xf numFmtId="0" fontId="11" fillId="9" borderId="36" xfId="0" applyFont="1" applyFill="1" applyBorder="1" applyAlignment="1">
      <alignment horizontal="right" vertical="center"/>
    </xf>
    <xf numFmtId="178" fontId="11" fillId="9" borderId="35" xfId="0" applyNumberFormat="1" applyFont="1" applyFill="1" applyBorder="1" applyAlignment="1">
      <alignment horizontal="center" vertical="center"/>
    </xf>
    <xf numFmtId="178" fontId="11" fillId="9" borderId="33" xfId="0" applyNumberFormat="1" applyFont="1" applyFill="1" applyBorder="1" applyAlignment="1">
      <alignment horizontal="center" vertical="center"/>
    </xf>
    <xf numFmtId="178" fontId="11" fillId="9" borderId="34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15" fillId="7" borderId="6" xfId="0" applyFont="1" applyFill="1" applyBorder="1" applyAlignment="1">
      <alignment horizontal="right" vertical="center" wrapText="1"/>
    </xf>
    <xf numFmtId="0" fontId="15" fillId="7" borderId="7" xfId="0" applyFont="1" applyFill="1" applyBorder="1" applyAlignment="1">
      <alignment horizontal="right" vertical="center" wrapText="1"/>
    </xf>
    <xf numFmtId="0" fontId="6" fillId="0" borderId="3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3" fontId="20" fillId="6" borderId="5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6D2DB"/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"/>
  <sheetViews>
    <sheetView tabSelected="1" zoomScale="85" zoomScaleNormal="85" workbookViewId="0">
      <selection activeCell="G4" sqref="G4"/>
    </sheetView>
  </sheetViews>
  <sheetFormatPr defaultColWidth="8.875" defaultRowHeight="15.75"/>
  <cols>
    <col min="1" max="10" width="15.875" style="9" customWidth="1"/>
    <col min="11" max="11" width="22.125" style="9" bestFit="1" customWidth="1"/>
    <col min="12" max="16384" width="8.875" style="9"/>
  </cols>
  <sheetData>
    <row r="1" spans="1:11" ht="24.95" customHeight="1">
      <c r="A1" s="137" t="s">
        <v>3</v>
      </c>
      <c r="B1" s="138"/>
      <c r="C1" s="15" t="s">
        <v>4</v>
      </c>
      <c r="D1" s="15" t="s">
        <v>8</v>
      </c>
      <c r="E1" s="15" t="s">
        <v>7</v>
      </c>
      <c r="F1" s="15" t="s">
        <v>22</v>
      </c>
      <c r="G1" s="15" t="s">
        <v>9</v>
      </c>
      <c r="H1" s="16" t="s">
        <v>23</v>
      </c>
      <c r="I1" s="17" t="s">
        <v>24</v>
      </c>
      <c r="J1" s="18" t="s">
        <v>5</v>
      </c>
      <c r="K1" s="39"/>
    </row>
    <row r="2" spans="1:11" ht="24.95" customHeight="1">
      <c r="A2" s="25" t="s">
        <v>11</v>
      </c>
      <c r="B2" s="26" t="s">
        <v>12</v>
      </c>
      <c r="C2" s="26" t="s">
        <v>13</v>
      </c>
      <c r="D2" s="27">
        <v>100000</v>
      </c>
      <c r="E2" s="26" t="s">
        <v>14</v>
      </c>
      <c r="F2" s="27">
        <v>460000</v>
      </c>
      <c r="G2" s="26" t="s">
        <v>14</v>
      </c>
      <c r="H2" s="26" t="s">
        <v>14</v>
      </c>
      <c r="I2" s="26" t="s">
        <v>14</v>
      </c>
      <c r="J2" s="21">
        <f t="shared" ref="J2:J7" si="0">SUM(F2:I2)</f>
        <v>460000</v>
      </c>
    </row>
    <row r="3" spans="1:11" ht="24.95" customHeight="1">
      <c r="A3" s="25" t="s">
        <v>6</v>
      </c>
      <c r="B3" s="28" t="s">
        <v>0</v>
      </c>
      <c r="C3" s="24">
        <v>43577</v>
      </c>
      <c r="D3" s="27">
        <v>41000</v>
      </c>
      <c r="E3" s="28">
        <v>2445</v>
      </c>
      <c r="F3" s="27">
        <v>41000</v>
      </c>
      <c r="G3" s="27">
        <v>54626</v>
      </c>
      <c r="H3" s="27">
        <v>41000</v>
      </c>
      <c r="I3" s="26" t="s">
        <v>196</v>
      </c>
      <c r="J3" s="21">
        <f t="shared" si="0"/>
        <v>136626</v>
      </c>
      <c r="K3" s="39"/>
    </row>
    <row r="4" spans="1:11" ht="24.95" customHeight="1">
      <c r="A4" s="29" t="s">
        <v>1</v>
      </c>
      <c r="B4" s="30" t="s">
        <v>2</v>
      </c>
      <c r="C4" s="24">
        <v>43822</v>
      </c>
      <c r="D4" s="27">
        <v>42000</v>
      </c>
      <c r="E4" s="28">
        <v>2200</v>
      </c>
      <c r="F4" s="27">
        <v>42000</v>
      </c>
      <c r="G4" s="38">
        <v>87017</v>
      </c>
      <c r="H4" s="27" t="s">
        <v>196</v>
      </c>
      <c r="I4" s="26" t="s">
        <v>196</v>
      </c>
      <c r="J4" s="21">
        <f t="shared" si="0"/>
        <v>129017</v>
      </c>
      <c r="K4" s="39"/>
    </row>
    <row r="5" spans="1:11" ht="24.95" customHeight="1">
      <c r="A5" s="23" t="s">
        <v>50</v>
      </c>
      <c r="B5" s="28" t="s">
        <v>53</v>
      </c>
      <c r="C5" s="24">
        <v>45566</v>
      </c>
      <c r="D5" s="27">
        <v>38000</v>
      </c>
      <c r="E5" s="28">
        <v>456</v>
      </c>
      <c r="F5" s="27">
        <v>38000</v>
      </c>
      <c r="G5" s="27">
        <v>39672</v>
      </c>
      <c r="H5" s="27">
        <v>9000</v>
      </c>
      <c r="I5" s="26" t="s">
        <v>196</v>
      </c>
      <c r="J5" s="21">
        <f t="shared" si="0"/>
        <v>86672</v>
      </c>
      <c r="K5" s="39"/>
    </row>
    <row r="6" spans="1:11" ht="24.95" customHeight="1">
      <c r="A6" s="23" t="s">
        <v>51</v>
      </c>
      <c r="B6" s="28" t="s">
        <v>54</v>
      </c>
      <c r="C6" s="24">
        <v>45579</v>
      </c>
      <c r="D6" s="27">
        <v>34000</v>
      </c>
      <c r="E6" s="28">
        <v>443</v>
      </c>
      <c r="F6" s="27">
        <v>34000</v>
      </c>
      <c r="G6" s="27">
        <v>36064</v>
      </c>
      <c r="H6" s="27">
        <v>8000</v>
      </c>
      <c r="I6" s="26" t="s">
        <v>196</v>
      </c>
      <c r="J6" s="21">
        <f t="shared" si="0"/>
        <v>78064</v>
      </c>
      <c r="K6" s="39"/>
    </row>
    <row r="7" spans="1:11" ht="24.95" customHeight="1" thickBot="1">
      <c r="A7" s="28" t="s">
        <v>52</v>
      </c>
      <c r="B7" s="28" t="s">
        <v>55</v>
      </c>
      <c r="C7" s="24">
        <v>45607</v>
      </c>
      <c r="D7" s="27">
        <v>43000</v>
      </c>
      <c r="E7" s="26">
        <v>415</v>
      </c>
      <c r="F7" s="27">
        <v>43000</v>
      </c>
      <c r="G7" s="27">
        <v>37798</v>
      </c>
      <c r="H7" s="27" t="s">
        <v>196</v>
      </c>
      <c r="I7" s="26" t="s">
        <v>196</v>
      </c>
      <c r="J7" s="21">
        <f t="shared" si="0"/>
        <v>80798</v>
      </c>
    </row>
    <row r="8" spans="1:11" ht="24.95" customHeight="1" thickBot="1">
      <c r="A8" s="139" t="s">
        <v>25</v>
      </c>
      <c r="B8" s="140"/>
      <c r="C8" s="140"/>
      <c r="D8" s="140"/>
      <c r="E8" s="140"/>
      <c r="F8" s="140"/>
      <c r="G8" s="140"/>
      <c r="H8" s="140"/>
      <c r="I8" s="141"/>
      <c r="J8" s="36">
        <f>SUM(J2:J7)</f>
        <v>971177</v>
      </c>
    </row>
    <row r="9" spans="1:11" ht="24.95" customHeight="1"/>
    <row r="10" spans="1:11" ht="24.95" customHeight="1"/>
  </sheetData>
  <mergeCells count="2">
    <mergeCell ref="A1:B1"/>
    <mergeCell ref="A8:I8"/>
  </mergeCells>
  <phoneticPr fontId="2" type="noConversion"/>
  <pageMargins left="0.7" right="0.7" top="0.75" bottom="0.75" header="0.3" footer="0.3"/>
  <pageSetup paperSize="9" orientation="portrait" r:id="rId1"/>
  <ignoredErrors>
    <ignoredError sqref="J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zoomScale="70" zoomScaleNormal="70" workbookViewId="0">
      <pane ySplit="5" topLeftCell="A12" activePane="bottomLeft" state="frozen"/>
      <selection pane="bottomLeft" activeCell="L16" sqref="L15:L16"/>
    </sheetView>
  </sheetViews>
  <sheetFormatPr defaultColWidth="8.875" defaultRowHeight="15.75"/>
  <cols>
    <col min="1" max="9" width="15.875" style="9" customWidth="1"/>
    <col min="10" max="12" width="15.875" style="1" customWidth="1"/>
    <col min="13" max="16384" width="8.875" style="1"/>
  </cols>
  <sheetData>
    <row r="1" spans="1:10" s="9" customFormat="1" ht="30" customHeight="1">
      <c r="A1" s="11" t="s">
        <v>26</v>
      </c>
      <c r="B1" s="12" t="s">
        <v>4</v>
      </c>
      <c r="C1" s="12" t="s">
        <v>8</v>
      </c>
      <c r="D1" s="12" t="s">
        <v>7</v>
      </c>
      <c r="E1" s="12" t="s">
        <v>22</v>
      </c>
      <c r="F1" s="16" t="s">
        <v>28</v>
      </c>
      <c r="G1" s="16" t="s">
        <v>23</v>
      </c>
      <c r="H1" s="17" t="s">
        <v>24</v>
      </c>
      <c r="I1" s="10" t="s">
        <v>5</v>
      </c>
    </row>
    <row r="2" spans="1:10" s="9" customFormat="1" ht="30" customHeight="1" thickBot="1">
      <c r="A2" s="33" t="s">
        <v>6</v>
      </c>
      <c r="B2" s="31">
        <v>43577</v>
      </c>
      <c r="C2" s="34">
        <v>41000</v>
      </c>
      <c r="D2" s="32">
        <v>2445</v>
      </c>
      <c r="E2" s="2">
        <v>41000</v>
      </c>
      <c r="F2" s="2">
        <v>54626</v>
      </c>
      <c r="G2" s="2">
        <v>41000</v>
      </c>
      <c r="H2" s="2">
        <v>0</v>
      </c>
      <c r="I2" s="3">
        <f>E2+F2+G2+H2</f>
        <v>136626</v>
      </c>
    </row>
    <row r="3" spans="1:10" ht="30" customHeight="1" thickBot="1">
      <c r="E3" s="39"/>
      <c r="H3" s="8"/>
      <c r="I3" s="8"/>
      <c r="J3" s="9"/>
    </row>
    <row r="4" spans="1:10" ht="30" customHeight="1">
      <c r="A4" s="142" t="s">
        <v>64</v>
      </c>
      <c r="B4" s="143"/>
      <c r="C4" s="143"/>
      <c r="D4" s="143"/>
      <c r="E4" s="143"/>
      <c r="F4" s="143"/>
      <c r="G4" s="143"/>
      <c r="H4" s="143"/>
      <c r="I4" s="143"/>
      <c r="J4" s="144"/>
    </row>
    <row r="5" spans="1:10" ht="30" customHeight="1">
      <c r="A5" s="48" t="s">
        <v>15</v>
      </c>
      <c r="B5" s="49" t="s">
        <v>16</v>
      </c>
      <c r="C5" s="145" t="s">
        <v>17</v>
      </c>
      <c r="D5" s="146"/>
      <c r="E5" s="147"/>
      <c r="F5" s="49" t="s">
        <v>18</v>
      </c>
      <c r="G5" s="49" t="s">
        <v>19</v>
      </c>
      <c r="H5" s="49" t="s">
        <v>20</v>
      </c>
      <c r="I5" s="50" t="s">
        <v>62</v>
      </c>
      <c r="J5" s="51" t="s">
        <v>63</v>
      </c>
    </row>
    <row r="6" spans="1:10" ht="30" customHeight="1">
      <c r="A6" s="154" t="s">
        <v>66</v>
      </c>
      <c r="B6" s="109" t="s">
        <v>67</v>
      </c>
      <c r="C6" s="161" t="s">
        <v>68</v>
      </c>
      <c r="D6" s="161"/>
      <c r="E6" s="161"/>
      <c r="F6" s="59">
        <v>46039</v>
      </c>
      <c r="G6" s="113" t="s">
        <v>69</v>
      </c>
      <c r="H6" s="121">
        <v>555485</v>
      </c>
      <c r="I6" s="114">
        <v>5555</v>
      </c>
      <c r="J6" s="133" t="s">
        <v>196</v>
      </c>
    </row>
    <row r="7" spans="1:10" ht="30" customHeight="1">
      <c r="A7" s="154"/>
      <c r="B7" s="109" t="s">
        <v>72</v>
      </c>
      <c r="C7" s="161" t="s">
        <v>73</v>
      </c>
      <c r="D7" s="161"/>
      <c r="E7" s="161"/>
      <c r="F7" s="59">
        <v>46025</v>
      </c>
      <c r="G7" s="116" t="s">
        <v>74</v>
      </c>
      <c r="H7" s="121">
        <v>185707</v>
      </c>
      <c r="I7" s="114">
        <v>1857</v>
      </c>
      <c r="J7" s="133" t="s">
        <v>196</v>
      </c>
    </row>
    <row r="8" spans="1:10" ht="30" customHeight="1">
      <c r="A8" s="154"/>
      <c r="B8" s="109" t="s">
        <v>77</v>
      </c>
      <c r="C8" s="161" t="s">
        <v>78</v>
      </c>
      <c r="D8" s="161"/>
      <c r="E8" s="161"/>
      <c r="F8" s="59">
        <v>46029</v>
      </c>
      <c r="G8" s="116" t="s">
        <v>79</v>
      </c>
      <c r="H8" s="121">
        <v>134088</v>
      </c>
      <c r="I8" s="114">
        <v>1341</v>
      </c>
      <c r="J8" s="133" t="s">
        <v>196</v>
      </c>
    </row>
    <row r="9" spans="1:10" ht="30" customHeight="1">
      <c r="A9" s="154"/>
      <c r="B9" s="109" t="s">
        <v>82</v>
      </c>
      <c r="C9" s="161" t="s">
        <v>83</v>
      </c>
      <c r="D9" s="161"/>
      <c r="E9" s="161"/>
      <c r="F9" s="59">
        <v>46035</v>
      </c>
      <c r="G9" s="116" t="s">
        <v>84</v>
      </c>
      <c r="H9" s="121">
        <v>458268</v>
      </c>
      <c r="I9" s="114">
        <v>4583</v>
      </c>
      <c r="J9" s="133" t="s">
        <v>196</v>
      </c>
    </row>
    <row r="10" spans="1:10" ht="30" customHeight="1">
      <c r="A10" s="154"/>
      <c r="B10" s="109" t="s">
        <v>86</v>
      </c>
      <c r="C10" s="161" t="s">
        <v>87</v>
      </c>
      <c r="D10" s="161"/>
      <c r="E10" s="161"/>
      <c r="F10" s="59">
        <v>46036</v>
      </c>
      <c r="G10" s="113" t="s">
        <v>88</v>
      </c>
      <c r="H10" s="121">
        <v>42368</v>
      </c>
      <c r="I10" s="113">
        <v>424</v>
      </c>
      <c r="J10" s="133" t="s">
        <v>196</v>
      </c>
    </row>
    <row r="11" spans="1:10" ht="30" customHeight="1">
      <c r="A11" s="154"/>
      <c r="B11" s="109" t="s">
        <v>89</v>
      </c>
      <c r="C11" s="161" t="s">
        <v>90</v>
      </c>
      <c r="D11" s="161"/>
      <c r="E11" s="161"/>
      <c r="F11" s="59">
        <v>46108</v>
      </c>
      <c r="G11" s="116" t="s">
        <v>91</v>
      </c>
      <c r="H11" s="121">
        <v>60376</v>
      </c>
      <c r="I11" s="113">
        <v>604</v>
      </c>
      <c r="J11" s="133" t="s">
        <v>196</v>
      </c>
    </row>
    <row r="12" spans="1:10" ht="30" customHeight="1">
      <c r="A12" s="154"/>
      <c r="B12" s="109" t="s">
        <v>92</v>
      </c>
      <c r="C12" s="161" t="s">
        <v>93</v>
      </c>
      <c r="D12" s="161"/>
      <c r="E12" s="161"/>
      <c r="F12" s="59">
        <v>46088</v>
      </c>
      <c r="G12" s="116" t="s">
        <v>69</v>
      </c>
      <c r="H12" s="121">
        <v>15088</v>
      </c>
      <c r="I12" s="113">
        <v>151</v>
      </c>
      <c r="J12" s="133" t="s">
        <v>196</v>
      </c>
    </row>
    <row r="13" spans="1:10" ht="30" customHeight="1">
      <c r="A13" s="154"/>
      <c r="B13" s="109" t="s">
        <v>95</v>
      </c>
      <c r="C13" s="161" t="s">
        <v>96</v>
      </c>
      <c r="D13" s="161"/>
      <c r="E13" s="161"/>
      <c r="F13" s="59">
        <v>46161</v>
      </c>
      <c r="G13" s="116" t="s">
        <v>69</v>
      </c>
      <c r="H13" s="121">
        <v>17030</v>
      </c>
      <c r="I13" s="113">
        <v>170</v>
      </c>
      <c r="J13" s="133" t="s">
        <v>196</v>
      </c>
    </row>
    <row r="14" spans="1:10" ht="30" customHeight="1">
      <c r="A14" s="154"/>
      <c r="B14" s="109" t="s">
        <v>97</v>
      </c>
      <c r="C14" s="161" t="s">
        <v>98</v>
      </c>
      <c r="D14" s="161"/>
      <c r="E14" s="161"/>
      <c r="F14" s="113" t="s">
        <v>99</v>
      </c>
      <c r="G14" s="116" t="s">
        <v>100</v>
      </c>
      <c r="H14" s="121">
        <v>60326</v>
      </c>
      <c r="I14" s="113">
        <v>603</v>
      </c>
      <c r="J14" s="133" t="s">
        <v>196</v>
      </c>
    </row>
    <row r="15" spans="1:10" ht="30" customHeight="1">
      <c r="A15" s="154"/>
      <c r="B15" s="109" t="s">
        <v>101</v>
      </c>
      <c r="C15" s="161" t="s">
        <v>102</v>
      </c>
      <c r="D15" s="161"/>
      <c r="E15" s="161"/>
      <c r="F15" s="113" t="s">
        <v>103</v>
      </c>
      <c r="G15" s="116" t="s">
        <v>84</v>
      </c>
      <c r="H15" s="121">
        <v>135705</v>
      </c>
      <c r="I15" s="114">
        <v>1357</v>
      </c>
      <c r="J15" s="133" t="s">
        <v>196</v>
      </c>
    </row>
    <row r="16" spans="1:10" ht="30" customHeight="1">
      <c r="A16" s="154"/>
      <c r="B16" s="109" t="s">
        <v>106</v>
      </c>
      <c r="C16" s="161" t="s">
        <v>107</v>
      </c>
      <c r="D16" s="161"/>
      <c r="E16" s="161"/>
      <c r="F16" s="59">
        <v>46317</v>
      </c>
      <c r="G16" s="116" t="s">
        <v>84</v>
      </c>
      <c r="H16" s="121">
        <v>56077</v>
      </c>
      <c r="I16" s="113">
        <v>561</v>
      </c>
      <c r="J16" s="133" t="s">
        <v>196</v>
      </c>
    </row>
    <row r="17" spans="1:10" ht="30" customHeight="1">
      <c r="A17" s="154"/>
      <c r="B17" s="155" t="s">
        <v>108</v>
      </c>
      <c r="C17" s="161" t="s">
        <v>172</v>
      </c>
      <c r="D17" s="161"/>
      <c r="E17" s="161"/>
      <c r="F17" s="170" t="s">
        <v>191</v>
      </c>
      <c r="G17" s="169" t="s">
        <v>195</v>
      </c>
      <c r="H17" s="135">
        <v>0</v>
      </c>
      <c r="I17" s="136" t="s">
        <v>166</v>
      </c>
      <c r="J17" s="171" t="s">
        <v>196</v>
      </c>
    </row>
    <row r="18" spans="1:10" ht="30" customHeight="1">
      <c r="A18" s="154"/>
      <c r="B18" s="155"/>
      <c r="C18" s="161" t="s">
        <v>173</v>
      </c>
      <c r="D18" s="161"/>
      <c r="E18" s="161"/>
      <c r="F18" s="170"/>
      <c r="G18" s="169"/>
      <c r="H18" s="135"/>
      <c r="I18" s="136"/>
      <c r="J18" s="171"/>
    </row>
    <row r="19" spans="1:10" ht="30" customHeight="1">
      <c r="A19" s="154"/>
      <c r="B19" s="155"/>
      <c r="C19" s="161" t="s">
        <v>174</v>
      </c>
      <c r="D19" s="161"/>
      <c r="E19" s="161"/>
      <c r="F19" s="170"/>
      <c r="G19" s="169"/>
      <c r="H19" s="135"/>
      <c r="I19" s="136"/>
      <c r="J19" s="171"/>
    </row>
    <row r="20" spans="1:10" ht="30" customHeight="1">
      <c r="A20" s="154"/>
      <c r="B20" s="155"/>
      <c r="C20" s="161" t="s">
        <v>175</v>
      </c>
      <c r="D20" s="161"/>
      <c r="E20" s="161"/>
      <c r="F20" s="170"/>
      <c r="G20" s="130" t="s">
        <v>0</v>
      </c>
      <c r="H20" s="122">
        <f>89991</f>
        <v>89991</v>
      </c>
      <c r="I20" s="117">
        <v>900</v>
      </c>
      <c r="J20" s="134" t="s">
        <v>196</v>
      </c>
    </row>
    <row r="21" spans="1:10" ht="30" customHeight="1">
      <c r="A21" s="154"/>
      <c r="B21" s="155"/>
      <c r="C21" s="161" t="s">
        <v>94</v>
      </c>
      <c r="D21" s="161"/>
      <c r="E21" s="161"/>
      <c r="F21" s="131">
        <v>46101</v>
      </c>
      <c r="G21" s="130" t="s">
        <v>91</v>
      </c>
      <c r="H21" s="121">
        <v>3717</v>
      </c>
      <c r="I21" s="113">
        <v>37</v>
      </c>
      <c r="J21" s="133" t="s">
        <v>196</v>
      </c>
    </row>
    <row r="22" spans="1:10" ht="30" customHeight="1">
      <c r="A22" s="154"/>
      <c r="B22" s="155"/>
      <c r="C22" s="161" t="s">
        <v>109</v>
      </c>
      <c r="D22" s="161"/>
      <c r="E22" s="161"/>
      <c r="F22" s="170" t="s">
        <v>110</v>
      </c>
      <c r="G22" s="132" t="s">
        <v>111</v>
      </c>
      <c r="H22" s="166">
        <v>217851</v>
      </c>
      <c r="I22" s="163">
        <v>2179</v>
      </c>
      <c r="J22" s="172" t="s">
        <v>196</v>
      </c>
    </row>
    <row r="23" spans="1:10" ht="30" customHeight="1">
      <c r="A23" s="154"/>
      <c r="B23" s="155"/>
      <c r="C23" s="161" t="s">
        <v>113</v>
      </c>
      <c r="D23" s="161"/>
      <c r="E23" s="161"/>
      <c r="F23" s="170"/>
      <c r="G23" s="132" t="s">
        <v>111</v>
      </c>
      <c r="H23" s="166"/>
      <c r="I23" s="163"/>
      <c r="J23" s="173"/>
    </row>
    <row r="24" spans="1:10" ht="30" customHeight="1">
      <c r="A24" s="154"/>
      <c r="B24" s="155"/>
      <c r="C24" s="161" t="s">
        <v>114</v>
      </c>
      <c r="D24" s="161"/>
      <c r="E24" s="161"/>
      <c r="F24" s="170"/>
      <c r="G24" s="132" t="s">
        <v>111</v>
      </c>
      <c r="H24" s="166"/>
      <c r="I24" s="163"/>
      <c r="J24" s="173"/>
    </row>
    <row r="25" spans="1:10" ht="30" customHeight="1">
      <c r="A25" s="154"/>
      <c r="B25" s="155"/>
      <c r="C25" s="161" t="s">
        <v>115</v>
      </c>
      <c r="D25" s="161"/>
      <c r="E25" s="161"/>
      <c r="F25" s="170"/>
      <c r="G25" s="132" t="s">
        <v>111</v>
      </c>
      <c r="H25" s="166"/>
      <c r="I25" s="163"/>
      <c r="J25" s="174"/>
    </row>
    <row r="26" spans="1:10" ht="30" customHeight="1">
      <c r="A26" s="154"/>
      <c r="B26" s="155"/>
      <c r="C26" s="161" t="s">
        <v>176</v>
      </c>
      <c r="D26" s="161"/>
      <c r="E26" s="161"/>
      <c r="F26" s="131">
        <v>46283</v>
      </c>
      <c r="G26" s="130" t="s">
        <v>84</v>
      </c>
      <c r="H26" s="108">
        <v>0</v>
      </c>
      <c r="I26" s="113">
        <v>0</v>
      </c>
      <c r="J26" s="133" t="s">
        <v>196</v>
      </c>
    </row>
    <row r="27" spans="1:10" ht="30" customHeight="1">
      <c r="A27" s="154"/>
      <c r="B27" s="155"/>
      <c r="C27" s="161" t="s">
        <v>116</v>
      </c>
      <c r="D27" s="161"/>
      <c r="E27" s="161"/>
      <c r="F27" s="132" t="s">
        <v>117</v>
      </c>
      <c r="G27" s="132" t="s">
        <v>91</v>
      </c>
      <c r="H27" s="121">
        <v>44258</v>
      </c>
      <c r="I27" s="113">
        <v>443</v>
      </c>
      <c r="J27" s="133" t="s">
        <v>196</v>
      </c>
    </row>
    <row r="28" spans="1:10" ht="30" customHeight="1">
      <c r="A28" s="154"/>
      <c r="B28" s="155"/>
      <c r="C28" s="161" t="s">
        <v>118</v>
      </c>
      <c r="D28" s="161"/>
      <c r="E28" s="161"/>
      <c r="F28" s="131">
        <v>46350</v>
      </c>
      <c r="G28" s="132" t="s">
        <v>111</v>
      </c>
      <c r="H28" s="121">
        <v>26870</v>
      </c>
      <c r="I28" s="113">
        <v>269</v>
      </c>
      <c r="J28" s="133" t="s">
        <v>196</v>
      </c>
    </row>
    <row r="29" spans="1:10" ht="30" customHeight="1">
      <c r="A29" s="154"/>
      <c r="B29" s="155"/>
      <c r="C29" s="161" t="s">
        <v>119</v>
      </c>
      <c r="D29" s="161"/>
      <c r="E29" s="161"/>
      <c r="F29" s="170" t="s">
        <v>120</v>
      </c>
      <c r="G29" s="169" t="s">
        <v>84</v>
      </c>
      <c r="H29" s="121">
        <v>277776</v>
      </c>
      <c r="I29" s="114">
        <v>2778</v>
      </c>
      <c r="J29" s="133" t="s">
        <v>196</v>
      </c>
    </row>
    <row r="30" spans="1:10" ht="30" customHeight="1">
      <c r="A30" s="154"/>
      <c r="B30" s="155"/>
      <c r="C30" s="161" t="s">
        <v>177</v>
      </c>
      <c r="D30" s="161"/>
      <c r="E30" s="161"/>
      <c r="F30" s="170"/>
      <c r="G30" s="169"/>
      <c r="H30" s="123">
        <v>-49283</v>
      </c>
      <c r="I30" s="127" t="s">
        <v>196</v>
      </c>
      <c r="J30" s="133" t="s">
        <v>196</v>
      </c>
    </row>
    <row r="31" spans="1:10" ht="30" customHeight="1">
      <c r="A31" s="154"/>
      <c r="B31" s="155"/>
      <c r="C31" s="161" t="s">
        <v>121</v>
      </c>
      <c r="D31" s="161"/>
      <c r="E31" s="161"/>
      <c r="F31" s="170"/>
      <c r="G31" s="169"/>
      <c r="H31" s="108">
        <v>314</v>
      </c>
      <c r="I31" s="113">
        <v>3</v>
      </c>
      <c r="J31" s="133" t="s">
        <v>196</v>
      </c>
    </row>
    <row r="32" spans="1:10" ht="30" customHeight="1">
      <c r="A32" s="154"/>
      <c r="B32" s="155"/>
      <c r="C32" s="161" t="s">
        <v>122</v>
      </c>
      <c r="D32" s="161"/>
      <c r="E32" s="161"/>
      <c r="F32" s="170"/>
      <c r="G32" s="169"/>
      <c r="H32" s="121">
        <v>22070</v>
      </c>
      <c r="I32" s="113">
        <v>221</v>
      </c>
      <c r="J32" s="133" t="s">
        <v>196</v>
      </c>
    </row>
    <row r="33" spans="1:10" ht="30" customHeight="1">
      <c r="A33" s="154"/>
      <c r="B33" s="155"/>
      <c r="C33" s="157" t="s">
        <v>200</v>
      </c>
      <c r="D33" s="158"/>
      <c r="E33" s="159"/>
      <c r="F33" s="132"/>
      <c r="G33" s="130"/>
      <c r="H33" s="122"/>
      <c r="I33" s="122">
        <f>(7800000/1.05)*0.0005</f>
        <v>3714.2857142857142</v>
      </c>
      <c r="J33" s="133" t="s">
        <v>196</v>
      </c>
    </row>
    <row r="34" spans="1:10" ht="30" customHeight="1">
      <c r="A34" s="154"/>
      <c r="B34" s="155"/>
      <c r="C34" s="161" t="s">
        <v>178</v>
      </c>
      <c r="D34" s="161"/>
      <c r="E34" s="161"/>
      <c r="F34" s="132" t="s">
        <v>76</v>
      </c>
      <c r="G34" s="132" t="s">
        <v>0</v>
      </c>
      <c r="H34" s="108">
        <v>608</v>
      </c>
      <c r="I34" s="113">
        <v>6</v>
      </c>
      <c r="J34" s="133" t="s">
        <v>196</v>
      </c>
    </row>
    <row r="35" spans="1:10" ht="30" customHeight="1">
      <c r="A35" s="156" t="s">
        <v>123</v>
      </c>
      <c r="B35" s="115" t="s">
        <v>124</v>
      </c>
      <c r="C35" s="161" t="s">
        <v>125</v>
      </c>
      <c r="D35" s="161"/>
      <c r="E35" s="161"/>
      <c r="F35" s="66">
        <v>46162</v>
      </c>
      <c r="G35" s="116" t="s">
        <v>76</v>
      </c>
      <c r="H35" s="121">
        <v>4450</v>
      </c>
      <c r="I35" s="113">
        <v>45</v>
      </c>
      <c r="J35" s="133" t="s">
        <v>196</v>
      </c>
    </row>
    <row r="36" spans="1:10" ht="30" customHeight="1">
      <c r="A36" s="156"/>
      <c r="B36" s="115" t="s">
        <v>126</v>
      </c>
      <c r="C36" s="161" t="s">
        <v>127</v>
      </c>
      <c r="D36" s="161"/>
      <c r="E36" s="161"/>
      <c r="F36" s="66">
        <v>46228</v>
      </c>
      <c r="G36" s="108" t="s">
        <v>91</v>
      </c>
      <c r="H36" s="121">
        <v>239475</v>
      </c>
      <c r="I36" s="114">
        <v>2395</v>
      </c>
      <c r="J36" s="133" t="s">
        <v>196</v>
      </c>
    </row>
    <row r="37" spans="1:10" ht="30" customHeight="1">
      <c r="A37" s="156"/>
      <c r="B37" s="115" t="s">
        <v>129</v>
      </c>
      <c r="C37" s="161" t="s">
        <v>130</v>
      </c>
      <c r="D37" s="161"/>
      <c r="E37" s="161"/>
      <c r="F37" s="68">
        <v>39848</v>
      </c>
      <c r="G37" s="108" t="s">
        <v>91</v>
      </c>
      <c r="H37" s="121">
        <v>374884</v>
      </c>
      <c r="I37" s="114">
        <v>3749</v>
      </c>
      <c r="J37" s="133" t="s">
        <v>196</v>
      </c>
    </row>
    <row r="38" spans="1:10" ht="30" customHeight="1">
      <c r="A38" s="156"/>
      <c r="B38" s="115" t="s">
        <v>132</v>
      </c>
      <c r="C38" s="161" t="s">
        <v>133</v>
      </c>
      <c r="D38" s="161"/>
      <c r="E38" s="161"/>
      <c r="F38" s="66">
        <v>46317</v>
      </c>
      <c r="G38" s="108" t="s">
        <v>84</v>
      </c>
      <c r="H38" s="121">
        <v>21286</v>
      </c>
      <c r="I38" s="113">
        <v>213</v>
      </c>
      <c r="J38" s="133" t="s">
        <v>196</v>
      </c>
    </row>
    <row r="39" spans="1:10" ht="30" customHeight="1">
      <c r="A39" s="156" t="s">
        <v>135</v>
      </c>
      <c r="B39" s="115" t="s">
        <v>136</v>
      </c>
      <c r="C39" s="161" t="s">
        <v>137</v>
      </c>
      <c r="D39" s="161"/>
      <c r="E39" s="161"/>
      <c r="F39" s="66">
        <v>46259</v>
      </c>
      <c r="G39" s="113" t="s">
        <v>100</v>
      </c>
      <c r="H39" s="121">
        <v>102665</v>
      </c>
      <c r="I39" s="114">
        <v>1027</v>
      </c>
      <c r="J39" s="133" t="s">
        <v>196</v>
      </c>
    </row>
    <row r="40" spans="1:10" ht="30" customHeight="1">
      <c r="A40" s="156"/>
      <c r="B40" s="115" t="s">
        <v>138</v>
      </c>
      <c r="C40" s="161" t="s">
        <v>139</v>
      </c>
      <c r="D40" s="161"/>
      <c r="E40" s="161"/>
      <c r="F40" s="69">
        <v>46263</v>
      </c>
      <c r="G40" s="108" t="s">
        <v>76</v>
      </c>
      <c r="H40" s="121">
        <v>25397</v>
      </c>
      <c r="I40" s="113">
        <v>254</v>
      </c>
      <c r="J40" s="133" t="s">
        <v>196</v>
      </c>
    </row>
    <row r="41" spans="1:10" ht="30" customHeight="1">
      <c r="A41" s="156"/>
      <c r="B41" s="115" t="s">
        <v>140</v>
      </c>
      <c r="C41" s="161" t="s">
        <v>141</v>
      </c>
      <c r="D41" s="161"/>
      <c r="E41" s="161"/>
      <c r="F41" s="69">
        <v>46284</v>
      </c>
      <c r="G41" s="113" t="s">
        <v>100</v>
      </c>
      <c r="H41" s="121">
        <v>120758</v>
      </c>
      <c r="I41" s="114">
        <v>1208</v>
      </c>
      <c r="J41" s="133" t="s">
        <v>196</v>
      </c>
    </row>
    <row r="42" spans="1:10" ht="30" customHeight="1">
      <c r="A42" s="156"/>
      <c r="B42" s="115" t="s">
        <v>142</v>
      </c>
      <c r="C42" s="161" t="s">
        <v>143</v>
      </c>
      <c r="D42" s="161"/>
      <c r="E42" s="161"/>
      <c r="F42" s="69">
        <v>46289</v>
      </c>
      <c r="G42" s="108" t="s">
        <v>76</v>
      </c>
      <c r="H42" s="121">
        <v>35619</v>
      </c>
      <c r="I42" s="113">
        <v>356</v>
      </c>
      <c r="J42" s="133" t="s">
        <v>196</v>
      </c>
    </row>
    <row r="43" spans="1:10" ht="30" customHeight="1">
      <c r="A43" s="156"/>
      <c r="B43" s="115" t="s">
        <v>144</v>
      </c>
      <c r="C43" s="161" t="s">
        <v>145</v>
      </c>
      <c r="D43" s="161"/>
      <c r="E43" s="161"/>
      <c r="F43" s="116" t="s">
        <v>146</v>
      </c>
      <c r="G43" s="108" t="s">
        <v>76</v>
      </c>
      <c r="H43" s="121">
        <v>86068</v>
      </c>
      <c r="I43" s="113">
        <v>861</v>
      </c>
      <c r="J43" s="133" t="s">
        <v>196</v>
      </c>
    </row>
    <row r="44" spans="1:10" ht="30" customHeight="1">
      <c r="A44" s="156"/>
      <c r="B44" s="162" t="s">
        <v>147</v>
      </c>
      <c r="C44" s="161" t="s">
        <v>148</v>
      </c>
      <c r="D44" s="161"/>
      <c r="E44" s="161"/>
      <c r="F44" s="116" t="s">
        <v>149</v>
      </c>
      <c r="G44" s="108" t="s">
        <v>76</v>
      </c>
      <c r="H44" s="167">
        <v>273333</v>
      </c>
      <c r="I44" s="164">
        <v>2733</v>
      </c>
      <c r="J44" s="172" t="s">
        <v>196</v>
      </c>
    </row>
    <row r="45" spans="1:10" ht="30" customHeight="1">
      <c r="A45" s="156"/>
      <c r="B45" s="162"/>
      <c r="C45" s="161" t="s">
        <v>150</v>
      </c>
      <c r="D45" s="161"/>
      <c r="E45" s="161"/>
      <c r="F45" s="69">
        <v>46034</v>
      </c>
      <c r="G45" s="108" t="s">
        <v>76</v>
      </c>
      <c r="H45" s="168"/>
      <c r="I45" s="165"/>
      <c r="J45" s="174"/>
    </row>
    <row r="46" spans="1:10" ht="30" customHeight="1">
      <c r="A46" s="156"/>
      <c r="B46" s="115" t="s">
        <v>151</v>
      </c>
      <c r="C46" s="161" t="s">
        <v>152</v>
      </c>
      <c r="D46" s="161"/>
      <c r="E46" s="161"/>
      <c r="F46" s="69">
        <v>46375</v>
      </c>
      <c r="G46" s="108" t="s">
        <v>76</v>
      </c>
      <c r="H46" s="123">
        <v>-1163</v>
      </c>
      <c r="I46" s="118">
        <v>1000</v>
      </c>
      <c r="J46" s="133" t="s">
        <v>196</v>
      </c>
    </row>
    <row r="47" spans="1:10" ht="30" customHeight="1">
      <c r="A47" s="160" t="s">
        <v>180</v>
      </c>
      <c r="B47" s="115" t="s">
        <v>155</v>
      </c>
      <c r="C47" s="161" t="s">
        <v>156</v>
      </c>
      <c r="D47" s="161"/>
      <c r="E47" s="161"/>
      <c r="F47" s="66">
        <v>46043</v>
      </c>
      <c r="G47" s="113" t="s">
        <v>84</v>
      </c>
      <c r="H47" s="121">
        <v>34301</v>
      </c>
      <c r="I47" s="113">
        <v>343</v>
      </c>
      <c r="J47" s="133" t="s">
        <v>196</v>
      </c>
    </row>
    <row r="48" spans="1:10" ht="30" customHeight="1">
      <c r="A48" s="160"/>
      <c r="B48" s="115" t="s">
        <v>157</v>
      </c>
      <c r="C48" s="161" t="s">
        <v>158</v>
      </c>
      <c r="D48" s="161"/>
      <c r="E48" s="161"/>
      <c r="F48" s="69">
        <v>46136</v>
      </c>
      <c r="G48" s="108" t="s">
        <v>76</v>
      </c>
      <c r="H48" s="121">
        <v>41185</v>
      </c>
      <c r="I48" s="113">
        <v>412</v>
      </c>
      <c r="J48" s="133" t="s">
        <v>196</v>
      </c>
    </row>
    <row r="49" spans="1:10" ht="30" customHeight="1">
      <c r="A49" s="160"/>
      <c r="B49" s="115" t="s">
        <v>159</v>
      </c>
      <c r="C49" s="161" t="s">
        <v>160</v>
      </c>
      <c r="D49" s="161"/>
      <c r="E49" s="161"/>
      <c r="F49" s="69">
        <v>46166</v>
      </c>
      <c r="G49" s="108" t="s">
        <v>161</v>
      </c>
      <c r="H49" s="121">
        <v>288766</v>
      </c>
      <c r="I49" s="114">
        <v>2888</v>
      </c>
      <c r="J49" s="133" t="s">
        <v>196</v>
      </c>
    </row>
    <row r="50" spans="1:10" ht="30" customHeight="1">
      <c r="A50" s="160"/>
      <c r="B50" s="115" t="s">
        <v>162</v>
      </c>
      <c r="C50" s="161" t="s">
        <v>163</v>
      </c>
      <c r="D50" s="161"/>
      <c r="E50" s="161"/>
      <c r="F50" s="69">
        <v>46226</v>
      </c>
      <c r="G50" s="108" t="s">
        <v>76</v>
      </c>
      <c r="H50" s="121">
        <v>14425</v>
      </c>
      <c r="I50" s="113">
        <v>144</v>
      </c>
      <c r="J50" s="133" t="s">
        <v>196</v>
      </c>
    </row>
    <row r="51" spans="1:10" ht="30" customHeight="1">
      <c r="A51" s="160"/>
      <c r="B51" s="115" t="s">
        <v>164</v>
      </c>
      <c r="C51" s="161" t="s">
        <v>165</v>
      </c>
      <c r="D51" s="161"/>
      <c r="E51" s="161"/>
      <c r="F51" s="69">
        <v>46374</v>
      </c>
      <c r="G51" s="108" t="s">
        <v>76</v>
      </c>
      <c r="H51" s="121">
        <v>7348</v>
      </c>
      <c r="I51" s="113">
        <v>73</v>
      </c>
      <c r="J51" s="133" t="s">
        <v>196</v>
      </c>
    </row>
    <row r="52" spans="1:10" ht="30" customHeight="1">
      <c r="A52" s="160" t="s">
        <v>190</v>
      </c>
      <c r="B52" s="115" t="s">
        <v>181</v>
      </c>
      <c r="C52" s="161" t="s">
        <v>182</v>
      </c>
      <c r="D52" s="161"/>
      <c r="E52" s="161"/>
      <c r="F52" s="124" t="s">
        <v>192</v>
      </c>
      <c r="G52" s="124" t="s">
        <v>0</v>
      </c>
      <c r="H52" s="128">
        <v>-181518</v>
      </c>
      <c r="I52" s="114">
        <v>4000</v>
      </c>
      <c r="J52" s="133" t="s">
        <v>196</v>
      </c>
    </row>
    <row r="53" spans="1:10" ht="30" customHeight="1">
      <c r="A53" s="160"/>
      <c r="B53" s="115" t="s">
        <v>183</v>
      </c>
      <c r="C53" s="161" t="s">
        <v>143</v>
      </c>
      <c r="D53" s="161"/>
      <c r="E53" s="161"/>
      <c r="F53" s="124" t="s">
        <v>192</v>
      </c>
      <c r="G53" s="124" t="s">
        <v>0</v>
      </c>
      <c r="H53" s="114">
        <v>4543</v>
      </c>
      <c r="I53" s="114">
        <v>1000</v>
      </c>
      <c r="J53" s="133" t="s">
        <v>196</v>
      </c>
    </row>
    <row r="54" spans="1:10" ht="30" customHeight="1">
      <c r="A54" s="160"/>
      <c r="B54" s="115" t="s">
        <v>184</v>
      </c>
      <c r="C54" s="161" t="s">
        <v>90</v>
      </c>
      <c r="D54" s="161"/>
      <c r="E54" s="161"/>
      <c r="F54" s="124" t="s">
        <v>192</v>
      </c>
      <c r="G54" s="124" t="s">
        <v>0</v>
      </c>
      <c r="H54" s="128">
        <v>-4600</v>
      </c>
      <c r="I54" s="114">
        <v>1000</v>
      </c>
      <c r="J54" s="133" t="s">
        <v>196</v>
      </c>
    </row>
    <row r="55" spans="1:10" ht="30" customHeight="1">
      <c r="A55" s="160"/>
      <c r="B55" s="125" t="s">
        <v>185</v>
      </c>
      <c r="C55" s="161" t="s">
        <v>186</v>
      </c>
      <c r="D55" s="161"/>
      <c r="E55" s="161"/>
      <c r="F55" s="126" t="s">
        <v>193</v>
      </c>
      <c r="G55" s="124" t="s">
        <v>0</v>
      </c>
      <c r="H55" s="128">
        <v>-24927</v>
      </c>
      <c r="I55" s="114">
        <v>1000</v>
      </c>
      <c r="J55" s="133" t="s">
        <v>196</v>
      </c>
    </row>
    <row r="56" spans="1:10" ht="30" customHeight="1">
      <c r="A56" s="160"/>
      <c r="B56" s="125" t="s">
        <v>187</v>
      </c>
      <c r="C56" s="161" t="s">
        <v>188</v>
      </c>
      <c r="D56" s="161"/>
      <c r="E56" s="161"/>
      <c r="F56" s="126" t="s">
        <v>193</v>
      </c>
      <c r="G56" s="124" t="s">
        <v>0</v>
      </c>
      <c r="H56" s="128">
        <v>23372</v>
      </c>
      <c r="I56" s="114">
        <v>1169</v>
      </c>
      <c r="J56" s="133" t="s">
        <v>196</v>
      </c>
    </row>
    <row r="57" spans="1:10" ht="30" customHeight="1">
      <c r="A57" s="160"/>
      <c r="B57" s="125" t="s">
        <v>189</v>
      </c>
      <c r="C57" s="161" t="s">
        <v>179</v>
      </c>
      <c r="D57" s="161"/>
      <c r="E57" s="161"/>
      <c r="F57" s="126" t="s">
        <v>194</v>
      </c>
      <c r="G57" s="124" t="s">
        <v>0</v>
      </c>
      <c r="H57" s="129">
        <v>0</v>
      </c>
      <c r="I57" s="114">
        <v>1000</v>
      </c>
      <c r="J57" s="133" t="s">
        <v>196</v>
      </c>
    </row>
    <row r="58" spans="1:10" ht="30" customHeight="1">
      <c r="A58" s="150" t="s">
        <v>30</v>
      </c>
      <c r="B58" s="151"/>
      <c r="C58" s="151"/>
      <c r="D58" s="151"/>
      <c r="E58" s="151"/>
      <c r="F58" s="151"/>
      <c r="G58" s="151"/>
      <c r="H58" s="151"/>
      <c r="I58" s="52">
        <f>SUM(I6:I57)</f>
        <v>54626.28571428571</v>
      </c>
      <c r="J58" s="53">
        <f>SUM(J6:J57)</f>
        <v>0</v>
      </c>
    </row>
    <row r="59" spans="1:10" ht="30" customHeight="1" thickBot="1">
      <c r="A59" s="148" t="s">
        <v>27</v>
      </c>
      <c r="B59" s="149"/>
      <c r="C59" s="149"/>
      <c r="D59" s="149"/>
      <c r="E59" s="149"/>
      <c r="F59" s="149"/>
      <c r="G59" s="149"/>
      <c r="H59" s="149"/>
      <c r="I59" s="152">
        <f>SUM(I58:J58)</f>
        <v>54626.28571428571</v>
      </c>
      <c r="J59" s="153"/>
    </row>
    <row r="60" spans="1:10" ht="30" customHeight="1">
      <c r="H60" s="8"/>
      <c r="I60" s="8"/>
      <c r="J60" s="9"/>
    </row>
    <row r="61" spans="1:10" ht="30" customHeight="1">
      <c r="H61" s="8"/>
      <c r="I61" s="8"/>
      <c r="J61" s="9"/>
    </row>
    <row r="62" spans="1:10" ht="30" customHeight="1" thickBot="1">
      <c r="F62" s="1"/>
      <c r="G62" s="4" t="s">
        <v>10</v>
      </c>
      <c r="H62" s="5"/>
      <c r="I62" s="5"/>
      <c r="J62" s="5"/>
    </row>
    <row r="63" spans="1:10" ht="30" customHeight="1">
      <c r="F63" s="8"/>
      <c r="G63" s="8"/>
      <c r="H63" s="6"/>
    </row>
    <row r="64" spans="1:10" ht="30" customHeight="1">
      <c r="F64" s="1"/>
      <c r="G64" s="1"/>
    </row>
    <row r="65" ht="30" customHeight="1"/>
    <row r="66" ht="30" customHeight="1"/>
    <row r="67" ht="30" customHeight="1"/>
    <row r="68" ht="30" customHeight="1"/>
    <row r="69" ht="30" customHeight="1"/>
    <row r="70" ht="21.95" customHeight="1"/>
    <row r="71" ht="21.95" customHeight="1"/>
    <row r="72" ht="21.95" customHeight="1"/>
    <row r="73" ht="21.95" customHeight="1"/>
    <row r="74" ht="21.95" customHeight="1"/>
    <row r="75" ht="21.95" customHeight="1"/>
    <row r="76" ht="21.95" customHeight="1"/>
    <row r="77" ht="21.95" customHeight="1"/>
    <row r="78" ht="21.95" customHeight="1"/>
    <row r="79" ht="21.95" customHeight="1"/>
    <row r="80" ht="21.95" customHeight="1"/>
    <row r="81" spans="3:9" ht="21.95" customHeight="1"/>
    <row r="82" spans="3:9" ht="21.95" customHeight="1"/>
    <row r="83" spans="3:9" ht="21.95" customHeight="1"/>
    <row r="84" spans="3:9">
      <c r="C84" s="1"/>
      <c r="D84" s="1"/>
      <c r="E84" s="1"/>
      <c r="F84" s="1"/>
      <c r="G84" s="1"/>
      <c r="H84" s="1"/>
      <c r="I84" s="1"/>
    </row>
    <row r="85" spans="3:9">
      <c r="C85" s="1"/>
      <c r="D85" s="1"/>
      <c r="E85" s="1"/>
      <c r="F85" s="1"/>
      <c r="G85" s="1"/>
      <c r="H85" s="1"/>
      <c r="I85" s="1"/>
    </row>
  </sheetData>
  <mergeCells count="76">
    <mergeCell ref="A52:A57"/>
    <mergeCell ref="J17:J19"/>
    <mergeCell ref="J22:J25"/>
    <mergeCell ref="J44:J45"/>
    <mergeCell ref="C55:E55"/>
    <mergeCell ref="C56:E56"/>
    <mergeCell ref="C57:E57"/>
    <mergeCell ref="C54:E54"/>
    <mergeCell ref="C53:E53"/>
    <mergeCell ref="C50:E50"/>
    <mergeCell ref="C51:E51"/>
    <mergeCell ref="C52:E52"/>
    <mergeCell ref="C38:E38"/>
    <mergeCell ref="C39:E39"/>
    <mergeCell ref="C40:E40"/>
    <mergeCell ref="C41:E41"/>
    <mergeCell ref="F22:F25"/>
    <mergeCell ref="F29:F32"/>
    <mergeCell ref="C15:E15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I22:I25"/>
    <mergeCell ref="I44:I45"/>
    <mergeCell ref="H22:H25"/>
    <mergeCell ref="H44:H4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G17:G19"/>
    <mergeCell ref="G29:G32"/>
    <mergeCell ref="F17:F20"/>
    <mergeCell ref="C49:E49"/>
    <mergeCell ref="C16:E16"/>
    <mergeCell ref="C17:E17"/>
    <mergeCell ref="C18:E18"/>
    <mergeCell ref="A39:A46"/>
    <mergeCell ref="B44:B45"/>
    <mergeCell ref="C42:E42"/>
    <mergeCell ref="C37:E37"/>
    <mergeCell ref="C35:E35"/>
    <mergeCell ref="C36:E36"/>
    <mergeCell ref="C32:E32"/>
    <mergeCell ref="C34:E34"/>
    <mergeCell ref="A4:J4"/>
    <mergeCell ref="C5:E5"/>
    <mergeCell ref="A59:H59"/>
    <mergeCell ref="A58:H58"/>
    <mergeCell ref="I59:J59"/>
    <mergeCell ref="A6:A34"/>
    <mergeCell ref="B17:B34"/>
    <mergeCell ref="A35:A38"/>
    <mergeCell ref="C33:E33"/>
    <mergeCell ref="A47:A51"/>
    <mergeCell ref="C43:E43"/>
    <mergeCell ref="C44:E44"/>
    <mergeCell ref="C45:E45"/>
    <mergeCell ref="C46:E46"/>
    <mergeCell ref="C47:E47"/>
    <mergeCell ref="C48:E48"/>
  </mergeCells>
  <phoneticPr fontId="2" type="noConversion"/>
  <pageMargins left="0.23622047244094488" right="0.23622047244094488" top="0.51181102362204722" bottom="0.51181102362204722" header="0" footer="0"/>
  <pageSetup paperSize="9" scale="56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7"/>
  <sheetViews>
    <sheetView zoomScale="70" zoomScaleNormal="70" workbookViewId="0">
      <pane ySplit="3" topLeftCell="A4" activePane="bottomLeft" state="frozen"/>
      <selection activeCell="A4" sqref="A4:L4"/>
      <selection pane="bottomLeft" activeCell="A11" sqref="A11:A15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54" t="s">
        <v>26</v>
      </c>
      <c r="B1" s="55" t="s">
        <v>4</v>
      </c>
      <c r="C1" s="55" t="s">
        <v>8</v>
      </c>
      <c r="D1" s="55" t="s">
        <v>7</v>
      </c>
      <c r="E1" s="55" t="s">
        <v>22</v>
      </c>
      <c r="F1" s="55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5" t="s">
        <v>50</v>
      </c>
      <c r="B2" s="31">
        <v>45566</v>
      </c>
      <c r="C2" s="34">
        <v>38000</v>
      </c>
      <c r="D2" s="32">
        <v>456</v>
      </c>
      <c r="E2" s="2">
        <v>38000</v>
      </c>
      <c r="F2" s="2">
        <f>H19-E2</f>
        <v>39672</v>
      </c>
      <c r="G2" s="2">
        <v>9000</v>
      </c>
      <c r="H2" s="2" t="s">
        <v>168</v>
      </c>
      <c r="I2" s="3">
        <f>SUM(E2:H2)</f>
        <v>86672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>
      <c r="A4" s="142" t="s">
        <v>64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</row>
    <row r="5" spans="1:12" ht="30" customHeight="1">
      <c r="A5" s="97" t="s">
        <v>15</v>
      </c>
      <c r="B5" s="95" t="s">
        <v>16</v>
      </c>
      <c r="C5" s="175" t="s">
        <v>17</v>
      </c>
      <c r="D5" s="175"/>
      <c r="E5" s="175"/>
      <c r="F5" s="95" t="s">
        <v>18</v>
      </c>
      <c r="G5" s="95" t="s">
        <v>19</v>
      </c>
      <c r="H5" s="95" t="s">
        <v>20</v>
      </c>
      <c r="I5" s="96" t="s">
        <v>38</v>
      </c>
      <c r="J5" s="96" t="s">
        <v>21</v>
      </c>
      <c r="K5" s="96" t="s">
        <v>42</v>
      </c>
      <c r="L5" s="98" t="s">
        <v>46</v>
      </c>
    </row>
    <row r="6" spans="1:12" ht="30" customHeight="1">
      <c r="A6" s="178" t="s">
        <v>66</v>
      </c>
      <c r="B6" s="75" t="s">
        <v>67</v>
      </c>
      <c r="C6" s="179" t="s">
        <v>68</v>
      </c>
      <c r="D6" s="179"/>
      <c r="E6" s="179"/>
      <c r="F6" s="76">
        <v>46039</v>
      </c>
      <c r="G6" s="79" t="s">
        <v>69</v>
      </c>
      <c r="H6" s="78">
        <v>3823810</v>
      </c>
      <c r="I6" s="79" t="s">
        <v>166</v>
      </c>
      <c r="J6" s="78">
        <v>27774</v>
      </c>
      <c r="K6" s="80" t="s">
        <v>166</v>
      </c>
      <c r="L6" s="81" t="s">
        <v>166</v>
      </c>
    </row>
    <row r="7" spans="1:12" ht="30" customHeight="1">
      <c r="A7" s="178"/>
      <c r="B7" s="75" t="s">
        <v>72</v>
      </c>
      <c r="C7" s="179" t="s">
        <v>73</v>
      </c>
      <c r="D7" s="179"/>
      <c r="E7" s="179"/>
      <c r="F7" s="76">
        <v>46025</v>
      </c>
      <c r="G7" s="77" t="s">
        <v>74</v>
      </c>
      <c r="H7" s="78">
        <v>1142857</v>
      </c>
      <c r="I7" s="79" t="s">
        <v>166</v>
      </c>
      <c r="J7" s="78">
        <v>9285</v>
      </c>
      <c r="K7" s="80" t="s">
        <v>166</v>
      </c>
      <c r="L7" s="81" t="s">
        <v>166</v>
      </c>
    </row>
    <row r="8" spans="1:12" ht="30" customHeight="1">
      <c r="A8" s="178"/>
      <c r="B8" s="75" t="s">
        <v>92</v>
      </c>
      <c r="C8" s="179" t="s">
        <v>93</v>
      </c>
      <c r="D8" s="179"/>
      <c r="E8" s="179"/>
      <c r="F8" s="76">
        <v>46088</v>
      </c>
      <c r="G8" s="77" t="s">
        <v>69</v>
      </c>
      <c r="H8" s="78">
        <v>65708</v>
      </c>
      <c r="I8" s="79" t="s">
        <v>166</v>
      </c>
      <c r="J8" s="79" t="s">
        <v>166</v>
      </c>
      <c r="K8" s="90">
        <v>1509</v>
      </c>
      <c r="L8" s="81" t="s">
        <v>166</v>
      </c>
    </row>
    <row r="9" spans="1:12" ht="30" customHeight="1">
      <c r="A9" s="178"/>
      <c r="B9" s="75" t="s">
        <v>95</v>
      </c>
      <c r="C9" s="179" t="s">
        <v>96</v>
      </c>
      <c r="D9" s="179"/>
      <c r="E9" s="179"/>
      <c r="F9" s="76">
        <v>46161</v>
      </c>
      <c r="G9" s="77" t="s">
        <v>69</v>
      </c>
      <c r="H9" s="78">
        <v>42900</v>
      </c>
      <c r="I9" s="79" t="s">
        <v>166</v>
      </c>
      <c r="J9" s="79" t="s">
        <v>166</v>
      </c>
      <c r="K9" s="90">
        <v>1703</v>
      </c>
      <c r="L9" s="81" t="s">
        <v>166</v>
      </c>
    </row>
    <row r="10" spans="1:12" ht="30" customHeight="1">
      <c r="A10" s="181" t="s">
        <v>171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3"/>
    </row>
    <row r="11" spans="1:12" ht="30" customHeight="1">
      <c r="A11" s="180" t="s">
        <v>198</v>
      </c>
      <c r="B11" s="82" t="s">
        <v>124</v>
      </c>
      <c r="C11" s="179" t="s">
        <v>125</v>
      </c>
      <c r="D11" s="179"/>
      <c r="E11" s="179"/>
      <c r="F11" s="91">
        <v>46162</v>
      </c>
      <c r="G11" s="77" t="s">
        <v>76</v>
      </c>
      <c r="H11" s="78">
        <v>23500</v>
      </c>
      <c r="I11" s="79" t="s">
        <v>166</v>
      </c>
      <c r="J11" s="79">
        <v>223</v>
      </c>
      <c r="K11" s="80" t="s">
        <v>166</v>
      </c>
      <c r="L11" s="81" t="s">
        <v>166</v>
      </c>
    </row>
    <row r="12" spans="1:12" ht="30" customHeight="1">
      <c r="A12" s="180"/>
      <c r="B12" s="82" t="s">
        <v>159</v>
      </c>
      <c r="C12" s="179" t="s">
        <v>160</v>
      </c>
      <c r="D12" s="179"/>
      <c r="E12" s="179"/>
      <c r="F12" s="83">
        <v>46166</v>
      </c>
      <c r="G12" s="80" t="s">
        <v>161</v>
      </c>
      <c r="H12" s="84">
        <v>1043070</v>
      </c>
      <c r="I12" s="78">
        <v>4331</v>
      </c>
      <c r="J12" s="80" t="s">
        <v>166</v>
      </c>
      <c r="K12" s="80" t="s">
        <v>166</v>
      </c>
      <c r="L12" s="81" t="s">
        <v>166</v>
      </c>
    </row>
    <row r="13" spans="1:12" ht="30" customHeight="1">
      <c r="A13" s="180"/>
      <c r="B13" s="82" t="s">
        <v>126</v>
      </c>
      <c r="C13" s="179" t="s">
        <v>127</v>
      </c>
      <c r="D13" s="179"/>
      <c r="E13" s="179"/>
      <c r="F13" s="91">
        <v>46228</v>
      </c>
      <c r="G13" s="80" t="s">
        <v>91</v>
      </c>
      <c r="H13" s="78">
        <v>777243</v>
      </c>
      <c r="I13" s="79" t="s">
        <v>166</v>
      </c>
      <c r="J13" s="93">
        <v>11974</v>
      </c>
      <c r="K13" s="80" t="s">
        <v>166</v>
      </c>
      <c r="L13" s="81" t="s">
        <v>166</v>
      </c>
    </row>
    <row r="14" spans="1:12" ht="30" customHeight="1">
      <c r="A14" s="180"/>
      <c r="B14" s="82" t="s">
        <v>129</v>
      </c>
      <c r="C14" s="179" t="s">
        <v>130</v>
      </c>
      <c r="D14" s="179"/>
      <c r="E14" s="179"/>
      <c r="F14" s="94">
        <v>39848</v>
      </c>
      <c r="G14" s="80" t="s">
        <v>91</v>
      </c>
      <c r="H14" s="78">
        <v>1801737</v>
      </c>
      <c r="I14" s="79" t="s">
        <v>166</v>
      </c>
      <c r="J14" s="93">
        <v>18744</v>
      </c>
      <c r="K14" s="80" t="s">
        <v>166</v>
      </c>
      <c r="L14" s="81" t="s">
        <v>166</v>
      </c>
    </row>
    <row r="15" spans="1:12" ht="30" customHeight="1">
      <c r="A15" s="180"/>
      <c r="B15" s="82" t="s">
        <v>132</v>
      </c>
      <c r="C15" s="179" t="s">
        <v>133</v>
      </c>
      <c r="D15" s="179"/>
      <c r="E15" s="179"/>
      <c r="F15" s="91">
        <v>46317</v>
      </c>
      <c r="G15" s="80" t="s">
        <v>169</v>
      </c>
      <c r="H15" s="78">
        <v>63950</v>
      </c>
      <c r="I15" s="79" t="s">
        <v>166</v>
      </c>
      <c r="J15" s="79" t="s">
        <v>166</v>
      </c>
      <c r="K15" s="90">
        <v>2129</v>
      </c>
      <c r="L15" s="81" t="s">
        <v>166</v>
      </c>
    </row>
    <row r="16" spans="1:12" ht="30" customHeight="1">
      <c r="A16" s="186" t="s">
        <v>56</v>
      </c>
      <c r="B16" s="187"/>
      <c r="C16" s="187"/>
      <c r="D16" s="187"/>
      <c r="E16" s="187"/>
      <c r="F16" s="187"/>
      <c r="G16" s="187"/>
      <c r="H16" s="188">
        <f>SUM(H11:H15)</f>
        <v>3709500</v>
      </c>
      <c r="I16" s="188"/>
      <c r="J16" s="188"/>
      <c r="K16" s="188"/>
      <c r="L16" s="189"/>
    </row>
    <row r="17" spans="1:12" ht="30" customHeight="1">
      <c r="A17" s="190" t="s">
        <v>43</v>
      </c>
      <c r="B17" s="191"/>
      <c r="C17" s="191"/>
      <c r="D17" s="191"/>
      <c r="E17" s="191"/>
      <c r="F17" s="191"/>
      <c r="G17" s="191"/>
      <c r="H17" s="192">
        <v>0</v>
      </c>
      <c r="I17" s="192"/>
      <c r="J17" s="192"/>
      <c r="K17" s="192"/>
      <c r="L17" s="193"/>
    </row>
    <row r="18" spans="1:12" ht="30" customHeight="1">
      <c r="A18" s="176" t="s">
        <v>61</v>
      </c>
      <c r="B18" s="177"/>
      <c r="C18" s="177"/>
      <c r="D18" s="177"/>
      <c r="E18" s="177"/>
      <c r="F18" s="177"/>
      <c r="G18" s="177"/>
      <c r="H18" s="14">
        <f>H17</f>
        <v>0</v>
      </c>
      <c r="I18" s="14">
        <f>SUM(I6:I15)</f>
        <v>4331</v>
      </c>
      <c r="J18" s="14">
        <f t="shared" ref="J18:L18" si="0">SUM(J6:J15)</f>
        <v>68000</v>
      </c>
      <c r="K18" s="14">
        <f t="shared" si="0"/>
        <v>5341</v>
      </c>
      <c r="L18" s="37">
        <f t="shared" si="0"/>
        <v>0</v>
      </c>
    </row>
    <row r="19" spans="1:12" ht="30" customHeight="1" thickBot="1">
      <c r="A19" s="148" t="s">
        <v>27</v>
      </c>
      <c r="B19" s="149"/>
      <c r="C19" s="149"/>
      <c r="D19" s="149"/>
      <c r="E19" s="149"/>
      <c r="F19" s="149"/>
      <c r="G19" s="149"/>
      <c r="H19" s="184">
        <f>SUM(H18:L18)</f>
        <v>77672</v>
      </c>
      <c r="I19" s="184"/>
      <c r="J19" s="184"/>
      <c r="K19" s="184"/>
      <c r="L19" s="185"/>
    </row>
    <row r="20" spans="1:12" ht="21">
      <c r="A20" s="56"/>
      <c r="B20" s="7"/>
      <c r="C20" s="7"/>
      <c r="D20" s="8"/>
      <c r="E20" s="7"/>
      <c r="F20" s="8"/>
      <c r="G20" s="8"/>
      <c r="H20" s="6"/>
    </row>
    <row r="21" spans="1:12" ht="21">
      <c r="A21" s="56" t="s">
        <v>34</v>
      </c>
      <c r="B21" s="7"/>
      <c r="C21" s="7"/>
      <c r="D21" s="8"/>
      <c r="E21" s="7"/>
      <c r="F21" s="8"/>
      <c r="G21" s="8"/>
      <c r="H21" s="6"/>
    </row>
    <row r="22" spans="1:12" ht="21">
      <c r="A22" s="56" t="s">
        <v>32</v>
      </c>
      <c r="B22" s="7"/>
      <c r="C22" s="7"/>
      <c r="D22" s="8"/>
      <c r="E22" s="7"/>
      <c r="F22" s="8"/>
      <c r="G22" s="8"/>
      <c r="H22" s="6"/>
    </row>
    <row r="23" spans="1:12" ht="21.75" thickBot="1">
      <c r="B23" s="7"/>
      <c r="C23" s="7"/>
      <c r="D23" s="8"/>
      <c r="E23" s="7"/>
      <c r="I23" s="4" t="s">
        <v>10</v>
      </c>
      <c r="J23" s="5"/>
      <c r="K23" s="5"/>
      <c r="L23" s="5"/>
    </row>
    <row r="24" spans="1:12">
      <c r="A24" s="7"/>
      <c r="B24" s="7"/>
      <c r="C24" s="7"/>
      <c r="D24" s="8"/>
      <c r="E24" s="7"/>
      <c r="F24" s="8"/>
      <c r="G24" s="8"/>
      <c r="H24" s="6"/>
    </row>
    <row r="25" spans="1:12">
      <c r="A25" s="7"/>
      <c r="B25" s="7"/>
      <c r="C25" s="7"/>
      <c r="D25" s="8"/>
      <c r="E25" s="7"/>
    </row>
    <row r="26" spans="1:12">
      <c r="A26" s="7"/>
      <c r="B26" s="7"/>
      <c r="C26" s="7"/>
      <c r="D26" s="8"/>
      <c r="E26" s="7"/>
      <c r="F26" s="8"/>
      <c r="G26" s="8"/>
      <c r="H26" s="6"/>
    </row>
    <row r="27" spans="1:12">
      <c r="A27" s="7"/>
      <c r="B27" s="7"/>
      <c r="C27" s="7"/>
      <c r="D27" s="8"/>
      <c r="E27" s="7"/>
      <c r="F27" s="8"/>
      <c r="G27" s="8"/>
      <c r="H27" s="6"/>
    </row>
    <row r="28" spans="1:12">
      <c r="A28" s="7"/>
      <c r="B28" s="7"/>
      <c r="C28" s="7"/>
      <c r="D28" s="8"/>
      <c r="E28" s="7"/>
      <c r="F28" s="8"/>
      <c r="G28" s="8"/>
      <c r="H28" s="6"/>
    </row>
    <row r="29" spans="1:12">
      <c r="A29" s="7"/>
      <c r="B29" s="7"/>
      <c r="C29" s="7"/>
      <c r="D29" s="8"/>
      <c r="E29" s="7"/>
      <c r="F29" s="8"/>
      <c r="G29" s="8"/>
      <c r="H29" s="6"/>
    </row>
    <row r="30" spans="1:12">
      <c r="A30" s="7"/>
      <c r="B30" s="7"/>
      <c r="C30" s="7"/>
      <c r="D30" s="8"/>
      <c r="E30" s="7"/>
      <c r="F30" s="8"/>
      <c r="G30" s="8"/>
      <c r="H30" s="6"/>
    </row>
    <row r="31" spans="1:12">
      <c r="A31" s="7"/>
      <c r="B31" s="7"/>
      <c r="C31" s="7"/>
      <c r="D31" s="8"/>
      <c r="E31" s="7"/>
      <c r="F31" s="8"/>
      <c r="G31" s="8"/>
      <c r="H31" s="6"/>
    </row>
    <row r="32" spans="1:12">
      <c r="A32" s="7"/>
      <c r="B32" s="7"/>
      <c r="C32" s="7"/>
      <c r="D32" s="8"/>
      <c r="E32" s="7"/>
      <c r="F32" s="8"/>
      <c r="G32" s="8"/>
      <c r="H32" s="6"/>
    </row>
    <row r="33" spans="1:8">
      <c r="A33" s="7"/>
      <c r="B33" s="7"/>
      <c r="C33" s="7"/>
      <c r="D33" s="8"/>
      <c r="E33" s="7"/>
      <c r="F33" s="8"/>
      <c r="G33" s="8"/>
      <c r="H33" s="6"/>
    </row>
    <row r="34" spans="1:8">
      <c r="A34" s="7"/>
      <c r="B34" s="7"/>
      <c r="C34" s="7"/>
      <c r="D34" s="8"/>
      <c r="E34" s="7"/>
      <c r="F34" s="8"/>
      <c r="G34" s="8"/>
      <c r="H34" s="6"/>
    </row>
    <row r="35" spans="1:8">
      <c r="A35" s="7"/>
      <c r="B35" s="7"/>
      <c r="C35" s="7"/>
      <c r="D35" s="8"/>
      <c r="E35" s="7"/>
      <c r="F35" s="8"/>
      <c r="G35" s="8"/>
      <c r="H35" s="6"/>
    </row>
    <row r="36" spans="1:8">
      <c r="A36" s="7"/>
      <c r="B36" s="7"/>
      <c r="C36" s="7"/>
      <c r="D36" s="8"/>
      <c r="E36" s="7"/>
      <c r="F36" s="8"/>
      <c r="G36" s="8"/>
      <c r="H36" s="6"/>
    </row>
    <row r="37" spans="1:8">
      <c r="A37" s="7"/>
      <c r="B37" s="7"/>
      <c r="C37" s="7"/>
      <c r="D37" s="7"/>
      <c r="E37" s="8"/>
      <c r="F37" s="8"/>
      <c r="G37" s="6"/>
    </row>
    <row r="38" spans="1:8">
      <c r="A38" s="7"/>
      <c r="B38" s="7"/>
      <c r="C38" s="7"/>
      <c r="D38" s="7"/>
      <c r="E38" s="8"/>
      <c r="F38" s="8"/>
      <c r="G38" s="6"/>
    </row>
    <row r="39" spans="1:8">
      <c r="A39" s="7"/>
      <c r="B39" s="7"/>
      <c r="C39" s="7"/>
      <c r="D39" s="7"/>
      <c r="E39" s="8"/>
      <c r="F39" s="8"/>
      <c r="G39" s="6"/>
    </row>
    <row r="40" spans="1:8">
      <c r="A40" s="7"/>
      <c r="B40" s="7"/>
      <c r="C40" s="7"/>
      <c r="D40" s="7"/>
      <c r="E40" s="8"/>
      <c r="F40" s="8"/>
      <c r="G40" s="6"/>
    </row>
    <row r="41" spans="1:8">
      <c r="A41" s="7"/>
      <c r="B41" s="7"/>
      <c r="C41" s="7"/>
      <c r="D41" s="7"/>
      <c r="E41" s="8"/>
      <c r="F41" s="8"/>
      <c r="G41" s="6"/>
    </row>
    <row r="42" spans="1:8">
      <c r="A42" s="7"/>
      <c r="B42" s="7"/>
      <c r="C42" s="7"/>
      <c r="D42" s="7"/>
      <c r="E42" s="8"/>
      <c r="F42" s="8"/>
      <c r="G42" s="6"/>
    </row>
    <row r="43" spans="1:8">
      <c r="A43" s="7"/>
      <c r="B43" s="7"/>
      <c r="C43" s="7"/>
      <c r="D43" s="7"/>
      <c r="E43" s="8"/>
      <c r="F43" s="8"/>
      <c r="G43" s="6"/>
    </row>
    <row r="44" spans="1:8">
      <c r="A44" s="7"/>
      <c r="B44" s="7"/>
      <c r="C44" s="7"/>
      <c r="D44" s="7"/>
      <c r="E44" s="8"/>
      <c r="F44" s="8"/>
      <c r="G44" s="6"/>
    </row>
    <row r="45" spans="1:8">
      <c r="A45" s="7"/>
      <c r="B45" s="7"/>
      <c r="C45" s="7"/>
      <c r="D45" s="7"/>
      <c r="E45" s="8"/>
      <c r="F45" s="8"/>
      <c r="G45" s="6"/>
    </row>
    <row r="46" spans="1:8">
      <c r="D46" s="7"/>
      <c r="E46" s="8"/>
      <c r="F46" s="8"/>
      <c r="G46" s="6"/>
    </row>
    <row r="47" spans="1:8">
      <c r="D47" s="7"/>
      <c r="E47" s="8"/>
      <c r="F47" s="8"/>
      <c r="G47" s="6"/>
    </row>
    <row r="48" spans="1:8">
      <c r="D48" s="7"/>
      <c r="E48" s="8"/>
      <c r="F48" s="8"/>
      <c r="G48" s="6"/>
    </row>
    <row r="49" spans="4:7">
      <c r="D49" s="7"/>
      <c r="E49" s="8"/>
      <c r="F49" s="8"/>
      <c r="G49" s="6"/>
    </row>
    <row r="50" spans="4:7">
      <c r="D50" s="7"/>
      <c r="E50" s="8"/>
      <c r="F50" s="8"/>
      <c r="G50" s="6"/>
    </row>
    <row r="51" spans="4:7">
      <c r="D51" s="7"/>
      <c r="E51" s="8"/>
      <c r="F51" s="8"/>
      <c r="G51" s="6"/>
    </row>
    <row r="52" spans="4:7">
      <c r="D52" s="7"/>
      <c r="E52" s="8"/>
      <c r="F52" s="8"/>
      <c r="G52" s="6"/>
    </row>
    <row r="53" spans="4:7">
      <c r="D53" s="7"/>
      <c r="E53" s="8"/>
      <c r="F53" s="8"/>
      <c r="G53" s="6"/>
    </row>
    <row r="54" spans="4:7">
      <c r="D54" s="7"/>
      <c r="E54" s="8"/>
      <c r="F54" s="8"/>
      <c r="G54" s="6"/>
    </row>
    <row r="55" spans="4:7">
      <c r="D55" s="7"/>
      <c r="E55" s="8"/>
      <c r="F55" s="8"/>
      <c r="G55" s="6"/>
    </row>
    <row r="56" spans="4:7">
      <c r="D56" s="7"/>
      <c r="E56" s="8"/>
      <c r="F56" s="8"/>
      <c r="G56" s="6"/>
    </row>
    <row r="57" spans="4:7">
      <c r="D57" s="7"/>
      <c r="E57" s="8"/>
      <c r="F57" s="8"/>
      <c r="G57" s="6"/>
    </row>
  </sheetData>
  <mergeCells count="21">
    <mergeCell ref="A19:G19"/>
    <mergeCell ref="H19:L19"/>
    <mergeCell ref="A16:G16"/>
    <mergeCell ref="H16:L16"/>
    <mergeCell ref="A17:G17"/>
    <mergeCell ref="H17:L17"/>
    <mergeCell ref="A4:L4"/>
    <mergeCell ref="C5:E5"/>
    <mergeCell ref="A18:G18"/>
    <mergeCell ref="A6:A9"/>
    <mergeCell ref="C15:E15"/>
    <mergeCell ref="A11:A15"/>
    <mergeCell ref="C6:E6"/>
    <mergeCell ref="C7:E7"/>
    <mergeCell ref="C8:E8"/>
    <mergeCell ref="C12:E12"/>
    <mergeCell ref="C13:E13"/>
    <mergeCell ref="C14:E14"/>
    <mergeCell ref="C9:E9"/>
    <mergeCell ref="C11:E11"/>
    <mergeCell ref="A10:L10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zoomScale="70" zoomScaleNormal="70" workbookViewId="0">
      <pane ySplit="3" topLeftCell="A4" activePane="bottomLeft" state="frozen"/>
      <selection activeCell="A4" sqref="A4:L4"/>
      <selection pane="bottomLeft" activeCell="G3" sqref="G3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54" t="s">
        <v>26</v>
      </c>
      <c r="B1" s="55" t="s">
        <v>4</v>
      </c>
      <c r="C1" s="55" t="s">
        <v>8</v>
      </c>
      <c r="D1" s="55" t="s">
        <v>7</v>
      </c>
      <c r="E1" s="55" t="s">
        <v>22</v>
      </c>
      <c r="F1" s="55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5" t="s">
        <v>51</v>
      </c>
      <c r="B2" s="31">
        <v>45579</v>
      </c>
      <c r="C2" s="34">
        <v>34000</v>
      </c>
      <c r="D2" s="32">
        <v>443</v>
      </c>
      <c r="E2" s="2">
        <v>34000</v>
      </c>
      <c r="F2" s="2">
        <f>H31-E2</f>
        <v>36064</v>
      </c>
      <c r="G2" s="2">
        <v>8000</v>
      </c>
      <c r="H2" s="2" t="s">
        <v>170</v>
      </c>
      <c r="I2" s="3">
        <f>SUM(E2:H2)</f>
        <v>78064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>
      <c r="A4" s="142" t="s">
        <v>65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</row>
    <row r="5" spans="1:12" ht="30" customHeight="1">
      <c r="A5" s="97" t="s">
        <v>15</v>
      </c>
      <c r="B5" s="95" t="s">
        <v>16</v>
      </c>
      <c r="C5" s="175" t="s">
        <v>17</v>
      </c>
      <c r="D5" s="175"/>
      <c r="E5" s="175"/>
      <c r="F5" s="95" t="s">
        <v>18</v>
      </c>
      <c r="G5" s="95" t="s">
        <v>19</v>
      </c>
      <c r="H5" s="95" t="s">
        <v>20</v>
      </c>
      <c r="I5" s="96" t="s">
        <v>38</v>
      </c>
      <c r="J5" s="96" t="s">
        <v>21</v>
      </c>
      <c r="K5" s="96" t="s">
        <v>42</v>
      </c>
      <c r="L5" s="98" t="s">
        <v>46</v>
      </c>
    </row>
    <row r="6" spans="1:12" ht="30" customHeight="1">
      <c r="A6" s="178" t="s">
        <v>66</v>
      </c>
      <c r="B6" s="75" t="s">
        <v>89</v>
      </c>
      <c r="C6" s="179" t="s">
        <v>90</v>
      </c>
      <c r="D6" s="179"/>
      <c r="E6" s="179"/>
      <c r="F6" s="76">
        <v>46108</v>
      </c>
      <c r="G6" s="77" t="s">
        <v>91</v>
      </c>
      <c r="H6" s="78">
        <v>177143</v>
      </c>
      <c r="I6" s="79" t="s">
        <v>166</v>
      </c>
      <c r="J6" s="78">
        <v>3019</v>
      </c>
      <c r="K6" s="80" t="s">
        <v>166</v>
      </c>
      <c r="L6" s="81" t="s">
        <v>166</v>
      </c>
    </row>
    <row r="7" spans="1:12" ht="30" customHeight="1">
      <c r="A7" s="178"/>
      <c r="B7" s="82" t="s">
        <v>159</v>
      </c>
      <c r="C7" s="179" t="s">
        <v>160</v>
      </c>
      <c r="D7" s="179"/>
      <c r="E7" s="179"/>
      <c r="F7" s="83">
        <v>46166</v>
      </c>
      <c r="G7" s="80" t="s">
        <v>161</v>
      </c>
      <c r="H7" s="84">
        <v>1043070</v>
      </c>
      <c r="I7" s="78">
        <v>4331</v>
      </c>
      <c r="J7" s="80" t="s">
        <v>166</v>
      </c>
      <c r="K7" s="80" t="s">
        <v>166</v>
      </c>
      <c r="L7" s="81" t="s">
        <v>166</v>
      </c>
    </row>
    <row r="8" spans="1:12" ht="30" customHeight="1">
      <c r="A8" s="178"/>
      <c r="B8" s="75" t="s">
        <v>97</v>
      </c>
      <c r="C8" s="179" t="s">
        <v>98</v>
      </c>
      <c r="D8" s="179"/>
      <c r="E8" s="179"/>
      <c r="F8" s="79" t="s">
        <v>99</v>
      </c>
      <c r="G8" s="77" t="s">
        <v>100</v>
      </c>
      <c r="H8" s="78">
        <v>261905</v>
      </c>
      <c r="I8" s="79" t="s">
        <v>166</v>
      </c>
      <c r="J8" s="78">
        <v>3016</v>
      </c>
      <c r="K8" s="80" t="s">
        <v>166</v>
      </c>
      <c r="L8" s="81" t="s">
        <v>166</v>
      </c>
    </row>
    <row r="9" spans="1:12" ht="30" customHeight="1">
      <c r="A9" s="178"/>
      <c r="B9" s="75" t="s">
        <v>108</v>
      </c>
      <c r="C9" s="198" t="s">
        <v>94</v>
      </c>
      <c r="D9" s="198"/>
      <c r="E9" s="198"/>
      <c r="F9" s="85">
        <v>46101</v>
      </c>
      <c r="G9" s="86" t="s">
        <v>91</v>
      </c>
      <c r="H9" s="87">
        <v>20625</v>
      </c>
      <c r="I9" s="80" t="s">
        <v>166</v>
      </c>
      <c r="J9" s="79">
        <v>186</v>
      </c>
      <c r="K9" s="80">
        <v>372</v>
      </c>
      <c r="L9" s="81" t="s">
        <v>166</v>
      </c>
    </row>
    <row r="10" spans="1:12" ht="30" customHeight="1">
      <c r="A10" s="178"/>
      <c r="B10" s="75" t="s">
        <v>108</v>
      </c>
      <c r="C10" s="198" t="s">
        <v>109</v>
      </c>
      <c r="D10" s="198"/>
      <c r="E10" s="198"/>
      <c r="F10" s="194" t="s">
        <v>110</v>
      </c>
      <c r="G10" s="88" t="s">
        <v>111</v>
      </c>
      <c r="H10" s="195">
        <v>1730095</v>
      </c>
      <c r="I10" s="199">
        <v>6536</v>
      </c>
      <c r="J10" s="179" t="s">
        <v>166</v>
      </c>
      <c r="K10" s="179" t="s">
        <v>166</v>
      </c>
      <c r="L10" s="206" t="s">
        <v>166</v>
      </c>
    </row>
    <row r="11" spans="1:12" ht="30" customHeight="1">
      <c r="A11" s="178"/>
      <c r="B11" s="75" t="s">
        <v>108</v>
      </c>
      <c r="C11" s="198" t="s">
        <v>113</v>
      </c>
      <c r="D11" s="198"/>
      <c r="E11" s="198"/>
      <c r="F11" s="194"/>
      <c r="G11" s="88" t="s">
        <v>111</v>
      </c>
      <c r="H11" s="195"/>
      <c r="I11" s="199"/>
      <c r="J11" s="179"/>
      <c r="K11" s="179"/>
      <c r="L11" s="206"/>
    </row>
    <row r="12" spans="1:12" ht="30" customHeight="1">
      <c r="A12" s="178"/>
      <c r="B12" s="75" t="s">
        <v>108</v>
      </c>
      <c r="C12" s="198" t="s">
        <v>114</v>
      </c>
      <c r="D12" s="198"/>
      <c r="E12" s="198"/>
      <c r="F12" s="194"/>
      <c r="G12" s="88" t="s">
        <v>111</v>
      </c>
      <c r="H12" s="195"/>
      <c r="I12" s="199"/>
      <c r="J12" s="179"/>
      <c r="K12" s="179"/>
      <c r="L12" s="206"/>
    </row>
    <row r="13" spans="1:12" ht="30" customHeight="1">
      <c r="A13" s="178"/>
      <c r="B13" s="75" t="s">
        <v>108</v>
      </c>
      <c r="C13" s="198" t="s">
        <v>115</v>
      </c>
      <c r="D13" s="198"/>
      <c r="E13" s="198"/>
      <c r="F13" s="194"/>
      <c r="G13" s="88" t="s">
        <v>111</v>
      </c>
      <c r="H13" s="195"/>
      <c r="I13" s="199"/>
      <c r="J13" s="179"/>
      <c r="K13" s="179"/>
      <c r="L13" s="206"/>
    </row>
    <row r="14" spans="1:12" ht="30" customHeight="1">
      <c r="A14" s="178"/>
      <c r="B14" s="75" t="s">
        <v>108</v>
      </c>
      <c r="C14" s="198" t="s">
        <v>118</v>
      </c>
      <c r="D14" s="198"/>
      <c r="E14" s="198"/>
      <c r="F14" s="85">
        <v>46350</v>
      </c>
      <c r="G14" s="88" t="s">
        <v>111</v>
      </c>
      <c r="H14" s="87">
        <v>66654</v>
      </c>
      <c r="I14" s="79">
        <v>806</v>
      </c>
      <c r="J14" s="80" t="s">
        <v>166</v>
      </c>
      <c r="K14" s="80" t="s">
        <v>166</v>
      </c>
      <c r="L14" s="81" t="s">
        <v>166</v>
      </c>
    </row>
    <row r="15" spans="1:12" ht="30" customHeight="1">
      <c r="A15" s="178"/>
      <c r="B15" s="75" t="s">
        <v>108</v>
      </c>
      <c r="C15" s="198" t="s">
        <v>116</v>
      </c>
      <c r="D15" s="198"/>
      <c r="E15" s="198"/>
      <c r="F15" s="89" t="s">
        <v>117</v>
      </c>
      <c r="G15" s="89" t="s">
        <v>91</v>
      </c>
      <c r="H15" s="87">
        <v>164549</v>
      </c>
      <c r="I15" s="80" t="s">
        <v>166</v>
      </c>
      <c r="J15" s="79" t="s">
        <v>166</v>
      </c>
      <c r="K15" s="90">
        <v>4426</v>
      </c>
      <c r="L15" s="81" t="s">
        <v>166</v>
      </c>
    </row>
    <row r="16" spans="1:12" ht="30" customHeight="1">
      <c r="A16" s="178"/>
      <c r="B16" s="75" t="s">
        <v>108</v>
      </c>
      <c r="C16" s="198" t="s">
        <v>119</v>
      </c>
      <c r="D16" s="198"/>
      <c r="E16" s="198"/>
      <c r="F16" s="89" t="s">
        <v>120</v>
      </c>
      <c r="G16" s="86" t="s">
        <v>111</v>
      </c>
      <c r="H16" s="87">
        <v>2615477</v>
      </c>
      <c r="I16" s="78">
        <v>8333</v>
      </c>
      <c r="J16" s="79" t="s">
        <v>166</v>
      </c>
      <c r="K16" s="80" t="s">
        <v>166</v>
      </c>
      <c r="L16" s="81" t="s">
        <v>166</v>
      </c>
    </row>
    <row r="17" spans="1:12" ht="30" customHeight="1">
      <c r="A17" s="208" t="s">
        <v>199</v>
      </c>
      <c r="B17" s="107" t="s">
        <v>126</v>
      </c>
      <c r="C17" s="179" t="s">
        <v>127</v>
      </c>
      <c r="D17" s="179"/>
      <c r="E17" s="179"/>
      <c r="F17" s="91">
        <v>46228</v>
      </c>
      <c r="G17" s="103" t="s">
        <v>91</v>
      </c>
      <c r="H17" s="106">
        <v>777243</v>
      </c>
      <c r="I17" s="105" t="s">
        <v>166</v>
      </c>
      <c r="J17" s="105" t="s">
        <v>166</v>
      </c>
      <c r="K17" s="103" t="s">
        <v>166</v>
      </c>
      <c r="L17" s="104" t="s">
        <v>166</v>
      </c>
    </row>
    <row r="18" spans="1:12" ht="30" customHeight="1">
      <c r="A18" s="209"/>
      <c r="B18" s="107" t="s">
        <v>129</v>
      </c>
      <c r="C18" s="179" t="s">
        <v>130</v>
      </c>
      <c r="D18" s="179"/>
      <c r="E18" s="179"/>
      <c r="F18" s="94">
        <v>39848</v>
      </c>
      <c r="G18" s="103" t="s">
        <v>91</v>
      </c>
      <c r="H18" s="106">
        <v>1801737</v>
      </c>
      <c r="I18" s="105" t="s">
        <v>166</v>
      </c>
      <c r="J18" s="105" t="s">
        <v>166</v>
      </c>
      <c r="K18" s="103" t="s">
        <v>166</v>
      </c>
      <c r="L18" s="104" t="s">
        <v>166</v>
      </c>
    </row>
    <row r="19" spans="1:12" ht="30" customHeight="1">
      <c r="A19" s="181" t="s">
        <v>171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3"/>
    </row>
    <row r="20" spans="1:12" ht="30" customHeight="1">
      <c r="A20" s="180" t="s">
        <v>135</v>
      </c>
      <c r="B20" s="82" t="s">
        <v>136</v>
      </c>
      <c r="C20" s="179" t="s">
        <v>137</v>
      </c>
      <c r="D20" s="179"/>
      <c r="E20" s="179"/>
      <c r="F20" s="91">
        <v>46259</v>
      </c>
      <c r="G20" s="79" t="s">
        <v>100</v>
      </c>
      <c r="H20" s="78">
        <v>571429</v>
      </c>
      <c r="I20" s="79" t="s">
        <v>166</v>
      </c>
      <c r="J20" s="78">
        <v>5133</v>
      </c>
      <c r="K20" s="80" t="s">
        <v>166</v>
      </c>
      <c r="L20" s="81" t="s">
        <v>166</v>
      </c>
    </row>
    <row r="21" spans="1:12" ht="30" customHeight="1">
      <c r="A21" s="180"/>
      <c r="B21" s="82" t="s">
        <v>138</v>
      </c>
      <c r="C21" s="179" t="s">
        <v>139</v>
      </c>
      <c r="D21" s="179"/>
      <c r="E21" s="179"/>
      <c r="F21" s="83">
        <v>46263</v>
      </c>
      <c r="G21" s="80" t="s">
        <v>76</v>
      </c>
      <c r="H21" s="84">
        <v>57143</v>
      </c>
      <c r="I21" s="79">
        <v>762</v>
      </c>
      <c r="J21" s="78">
        <v>1270</v>
      </c>
      <c r="K21" s="80" t="s">
        <v>166</v>
      </c>
      <c r="L21" s="81" t="s">
        <v>166</v>
      </c>
    </row>
    <row r="22" spans="1:12" ht="30" customHeight="1">
      <c r="A22" s="180"/>
      <c r="B22" s="82" t="s">
        <v>140</v>
      </c>
      <c r="C22" s="179" t="s">
        <v>141</v>
      </c>
      <c r="D22" s="179"/>
      <c r="E22" s="179"/>
      <c r="F22" s="83">
        <v>46284</v>
      </c>
      <c r="G22" s="79" t="s">
        <v>100</v>
      </c>
      <c r="H22" s="84">
        <v>359783</v>
      </c>
      <c r="I22" s="79" t="s">
        <v>166</v>
      </c>
      <c r="J22" s="78">
        <v>6038</v>
      </c>
      <c r="K22" s="80" t="s">
        <v>166</v>
      </c>
      <c r="L22" s="81" t="s">
        <v>166</v>
      </c>
    </row>
    <row r="23" spans="1:12" ht="30" customHeight="1">
      <c r="A23" s="180"/>
      <c r="B23" s="82" t="s">
        <v>142</v>
      </c>
      <c r="C23" s="179" t="s">
        <v>143</v>
      </c>
      <c r="D23" s="179"/>
      <c r="E23" s="179"/>
      <c r="F23" s="83">
        <v>46289</v>
      </c>
      <c r="G23" s="80" t="s">
        <v>76</v>
      </c>
      <c r="H23" s="84">
        <v>339638</v>
      </c>
      <c r="I23" s="79" t="s">
        <v>166</v>
      </c>
      <c r="J23" s="78" t="s">
        <v>197</v>
      </c>
      <c r="K23" s="90">
        <v>3562</v>
      </c>
      <c r="L23" s="81" t="s">
        <v>166</v>
      </c>
    </row>
    <row r="24" spans="1:12" ht="30" customHeight="1">
      <c r="A24" s="180"/>
      <c r="B24" s="82" t="s">
        <v>144</v>
      </c>
      <c r="C24" s="179" t="s">
        <v>145</v>
      </c>
      <c r="D24" s="179"/>
      <c r="E24" s="179"/>
      <c r="F24" s="77" t="s">
        <v>146</v>
      </c>
      <c r="G24" s="80" t="s">
        <v>76</v>
      </c>
      <c r="H24" s="84">
        <v>512340</v>
      </c>
      <c r="I24" s="79" t="s">
        <v>166</v>
      </c>
      <c r="J24" s="79" t="s">
        <v>166</v>
      </c>
      <c r="K24" s="90">
        <v>8607</v>
      </c>
      <c r="L24" s="81" t="s">
        <v>166</v>
      </c>
    </row>
    <row r="25" spans="1:12" ht="30" customHeight="1">
      <c r="A25" s="180"/>
      <c r="B25" s="196" t="s">
        <v>147</v>
      </c>
      <c r="C25" s="179" t="s">
        <v>148</v>
      </c>
      <c r="D25" s="179"/>
      <c r="E25" s="179"/>
      <c r="F25" s="77" t="s">
        <v>149</v>
      </c>
      <c r="G25" s="80" t="s">
        <v>76</v>
      </c>
      <c r="H25" s="197">
        <v>1190476</v>
      </c>
      <c r="I25" s="207" t="s">
        <v>166</v>
      </c>
      <c r="J25" s="199">
        <v>13667</v>
      </c>
      <c r="K25" s="179" t="s">
        <v>166</v>
      </c>
      <c r="L25" s="206" t="s">
        <v>166</v>
      </c>
    </row>
    <row r="26" spans="1:12" ht="30" customHeight="1">
      <c r="A26" s="180"/>
      <c r="B26" s="196"/>
      <c r="C26" s="179" t="s">
        <v>150</v>
      </c>
      <c r="D26" s="179"/>
      <c r="E26" s="179"/>
      <c r="F26" s="83">
        <v>46034</v>
      </c>
      <c r="G26" s="80" t="s">
        <v>76</v>
      </c>
      <c r="H26" s="197"/>
      <c r="I26" s="207"/>
      <c r="J26" s="199"/>
      <c r="K26" s="179"/>
      <c r="L26" s="206"/>
    </row>
    <row r="27" spans="1:12" ht="30" customHeight="1">
      <c r="A27" s="180"/>
      <c r="B27" s="82" t="s">
        <v>151</v>
      </c>
      <c r="C27" s="179" t="s">
        <v>152</v>
      </c>
      <c r="D27" s="179"/>
      <c r="E27" s="179"/>
      <c r="F27" s="83">
        <v>46375</v>
      </c>
      <c r="G27" s="80" t="s">
        <v>76</v>
      </c>
      <c r="H27" s="92">
        <v>59840</v>
      </c>
      <c r="I27" s="80" t="s">
        <v>166</v>
      </c>
      <c r="J27" s="80" t="s">
        <v>166</v>
      </c>
      <c r="K27" s="80" t="s">
        <v>166</v>
      </c>
      <c r="L27" s="81" t="s">
        <v>166</v>
      </c>
    </row>
    <row r="28" spans="1:12" ht="30" customHeight="1">
      <c r="A28" s="186" t="s">
        <v>57</v>
      </c>
      <c r="B28" s="187"/>
      <c r="C28" s="187"/>
      <c r="D28" s="187"/>
      <c r="E28" s="187"/>
      <c r="F28" s="187"/>
      <c r="G28" s="187"/>
      <c r="H28" s="188">
        <f>SUM(H20:H27)</f>
        <v>3090649</v>
      </c>
      <c r="I28" s="188"/>
      <c r="J28" s="188"/>
      <c r="K28" s="188"/>
      <c r="L28" s="189"/>
    </row>
    <row r="29" spans="1:12" ht="30" customHeight="1">
      <c r="A29" s="200" t="s">
        <v>43</v>
      </c>
      <c r="B29" s="201"/>
      <c r="C29" s="201"/>
      <c r="D29" s="201"/>
      <c r="E29" s="201"/>
      <c r="F29" s="201"/>
      <c r="G29" s="202"/>
      <c r="H29" s="203">
        <v>0</v>
      </c>
      <c r="I29" s="204"/>
      <c r="J29" s="204"/>
      <c r="K29" s="204"/>
      <c r="L29" s="205"/>
    </row>
    <row r="30" spans="1:12" ht="30" customHeight="1">
      <c r="A30" s="176" t="s">
        <v>60</v>
      </c>
      <c r="B30" s="177"/>
      <c r="C30" s="177"/>
      <c r="D30" s="177"/>
      <c r="E30" s="177"/>
      <c r="F30" s="177"/>
      <c r="G30" s="177"/>
      <c r="H30" s="14">
        <f>H29</f>
        <v>0</v>
      </c>
      <c r="I30" s="14">
        <f>SUM(I6:I27)</f>
        <v>20768</v>
      </c>
      <c r="J30" s="14">
        <f t="shared" ref="J30:L30" si="0">SUM(J6:J27)</f>
        <v>32329</v>
      </c>
      <c r="K30" s="14">
        <f>SUM(K6:K27)</f>
        <v>16967</v>
      </c>
      <c r="L30" s="37">
        <f t="shared" si="0"/>
        <v>0</v>
      </c>
    </row>
    <row r="31" spans="1:12" ht="30" customHeight="1" thickBot="1">
      <c r="A31" s="148" t="s">
        <v>27</v>
      </c>
      <c r="B31" s="149"/>
      <c r="C31" s="149"/>
      <c r="D31" s="149"/>
      <c r="E31" s="149"/>
      <c r="F31" s="149"/>
      <c r="G31" s="149"/>
      <c r="H31" s="184">
        <f>SUM(H30:L30)</f>
        <v>70064</v>
      </c>
      <c r="I31" s="184"/>
      <c r="J31" s="184"/>
      <c r="K31" s="184"/>
      <c r="L31" s="185"/>
    </row>
    <row r="32" spans="1:12" ht="21">
      <c r="A32" s="56"/>
      <c r="B32" s="7"/>
      <c r="C32" s="7"/>
      <c r="D32" s="8"/>
      <c r="E32" s="7"/>
      <c r="F32" s="8"/>
      <c r="G32" s="8"/>
      <c r="H32" s="6"/>
    </row>
    <row r="33" spans="1:12" ht="21">
      <c r="A33" s="56" t="s">
        <v>34</v>
      </c>
      <c r="B33" s="7"/>
      <c r="C33" s="7"/>
      <c r="D33" s="8"/>
      <c r="E33" s="7"/>
      <c r="F33" s="8"/>
      <c r="G33" s="8"/>
      <c r="H33" s="6"/>
    </row>
    <row r="34" spans="1:12" ht="21">
      <c r="A34" s="56" t="s">
        <v>32</v>
      </c>
      <c r="B34" s="7"/>
      <c r="C34" s="7"/>
      <c r="D34" s="8"/>
      <c r="E34" s="7"/>
      <c r="F34" s="8"/>
      <c r="G34" s="8"/>
      <c r="H34" s="6"/>
    </row>
    <row r="35" spans="1:12" ht="21.75" thickBot="1">
      <c r="B35" s="7"/>
      <c r="C35" s="7"/>
      <c r="D35" s="8"/>
      <c r="E35" s="7"/>
      <c r="I35" s="4" t="s">
        <v>10</v>
      </c>
      <c r="J35" s="5"/>
      <c r="K35" s="5"/>
      <c r="L35" s="5"/>
    </row>
    <row r="36" spans="1:12">
      <c r="A36" s="7"/>
      <c r="B36" s="7"/>
      <c r="C36" s="7"/>
      <c r="D36" s="8"/>
      <c r="E36" s="7"/>
      <c r="F36" s="8"/>
      <c r="G36" s="8"/>
      <c r="H36" s="6"/>
    </row>
    <row r="37" spans="1:12">
      <c r="A37" s="7"/>
      <c r="B37" s="7"/>
      <c r="C37" s="7"/>
      <c r="D37" s="8"/>
      <c r="E37" s="7"/>
    </row>
    <row r="38" spans="1:12">
      <c r="A38" s="7"/>
      <c r="B38" s="7"/>
      <c r="C38" s="7"/>
      <c r="D38" s="8"/>
      <c r="E38" s="7"/>
      <c r="F38" s="8"/>
      <c r="G38" s="8"/>
      <c r="H38" s="6"/>
    </row>
    <row r="39" spans="1:12">
      <c r="A39" s="7"/>
      <c r="B39" s="7"/>
      <c r="C39" s="7"/>
      <c r="D39" s="8"/>
      <c r="E39" s="7"/>
      <c r="F39" s="8"/>
      <c r="G39" s="8"/>
      <c r="H39" s="6"/>
    </row>
    <row r="40" spans="1:12">
      <c r="A40" s="7"/>
      <c r="B40" s="7"/>
      <c r="C40" s="7"/>
      <c r="D40" s="8"/>
      <c r="E40" s="7"/>
      <c r="F40" s="8"/>
      <c r="G40" s="8"/>
      <c r="H40" s="6"/>
    </row>
    <row r="41" spans="1:12">
      <c r="A41" s="7"/>
      <c r="B41" s="7"/>
      <c r="C41" s="7"/>
      <c r="D41" s="8"/>
      <c r="E41" s="7"/>
      <c r="F41" s="8"/>
      <c r="G41" s="8"/>
      <c r="H41" s="6"/>
    </row>
    <row r="42" spans="1:12">
      <c r="A42" s="7"/>
      <c r="B42" s="7"/>
      <c r="C42" s="7"/>
      <c r="D42" s="8"/>
      <c r="E42" s="7"/>
      <c r="F42" s="8"/>
      <c r="G42" s="8"/>
      <c r="H42" s="6"/>
    </row>
    <row r="43" spans="1:12">
      <c r="A43" s="7"/>
      <c r="B43" s="7"/>
      <c r="C43" s="7"/>
      <c r="D43" s="8"/>
      <c r="E43" s="7"/>
      <c r="F43" s="8"/>
      <c r="G43" s="8"/>
      <c r="H43" s="6"/>
    </row>
    <row r="44" spans="1:12">
      <c r="A44" s="7"/>
      <c r="B44" s="7"/>
      <c r="C44" s="7"/>
      <c r="D44" s="8"/>
      <c r="E44" s="7"/>
      <c r="F44" s="8"/>
      <c r="G44" s="8"/>
      <c r="H44" s="6"/>
    </row>
    <row r="45" spans="1:12">
      <c r="A45" s="7"/>
      <c r="B45" s="7"/>
      <c r="C45" s="7"/>
      <c r="D45" s="8"/>
      <c r="E45" s="7"/>
      <c r="F45" s="8"/>
      <c r="G45" s="8"/>
      <c r="H45" s="6"/>
    </row>
    <row r="46" spans="1:12">
      <c r="A46" s="7"/>
      <c r="B46" s="7"/>
      <c r="C46" s="7"/>
      <c r="D46" s="8"/>
      <c r="E46" s="7"/>
      <c r="F46" s="8"/>
      <c r="G46" s="8"/>
      <c r="H46" s="6"/>
    </row>
    <row r="47" spans="1:12">
      <c r="A47" s="7"/>
      <c r="B47" s="7"/>
      <c r="C47" s="7"/>
      <c r="D47" s="8"/>
      <c r="E47" s="7"/>
      <c r="F47" s="8"/>
      <c r="G47" s="8"/>
      <c r="H47" s="6"/>
    </row>
    <row r="48" spans="1:12">
      <c r="A48" s="7"/>
      <c r="B48" s="7"/>
      <c r="C48" s="7"/>
      <c r="D48" s="8"/>
      <c r="E48" s="7"/>
      <c r="F48" s="8"/>
      <c r="G48" s="8"/>
      <c r="H48" s="6"/>
    </row>
    <row r="49" spans="1:7">
      <c r="A49" s="7"/>
      <c r="B49" s="7"/>
      <c r="C49" s="7"/>
      <c r="D49" s="7"/>
      <c r="E49" s="8"/>
      <c r="F49" s="8"/>
      <c r="G49" s="6"/>
    </row>
    <row r="50" spans="1:7">
      <c r="A50" s="7"/>
      <c r="B50" s="7"/>
      <c r="C50" s="7"/>
      <c r="D50" s="7"/>
      <c r="E50" s="8"/>
      <c r="F50" s="8"/>
      <c r="G50" s="6"/>
    </row>
    <row r="51" spans="1:7">
      <c r="A51" s="7"/>
      <c r="B51" s="7"/>
      <c r="C51" s="7"/>
      <c r="D51" s="7"/>
      <c r="E51" s="8"/>
      <c r="F51" s="8"/>
      <c r="G51" s="6"/>
    </row>
    <row r="52" spans="1:7">
      <c r="A52" s="7"/>
      <c r="B52" s="7"/>
      <c r="C52" s="7"/>
      <c r="D52" s="7"/>
      <c r="E52" s="8"/>
      <c r="F52" s="8"/>
      <c r="G52" s="6"/>
    </row>
    <row r="53" spans="1:7">
      <c r="A53" s="7"/>
      <c r="B53" s="7"/>
      <c r="C53" s="7"/>
      <c r="D53" s="7"/>
      <c r="E53" s="8"/>
      <c r="F53" s="8"/>
      <c r="G53" s="6"/>
    </row>
    <row r="54" spans="1:7">
      <c r="A54" s="7"/>
      <c r="B54" s="7"/>
      <c r="C54" s="7"/>
      <c r="D54" s="7"/>
      <c r="E54" s="8"/>
      <c r="F54" s="8"/>
      <c r="G54" s="6"/>
    </row>
    <row r="55" spans="1:7">
      <c r="A55" s="7"/>
      <c r="B55" s="7"/>
      <c r="C55" s="7"/>
      <c r="D55" s="7"/>
      <c r="E55" s="8"/>
      <c r="F55" s="8"/>
      <c r="G55" s="6"/>
    </row>
    <row r="56" spans="1:7">
      <c r="A56" s="7"/>
      <c r="B56" s="7"/>
      <c r="C56" s="7"/>
      <c r="D56" s="7"/>
      <c r="E56" s="8"/>
      <c r="F56" s="8"/>
      <c r="G56" s="6"/>
    </row>
    <row r="57" spans="1:7">
      <c r="A57" s="7"/>
      <c r="B57" s="7"/>
      <c r="C57" s="7"/>
      <c r="D57" s="7"/>
      <c r="E57" s="8"/>
      <c r="F57" s="8"/>
      <c r="G57" s="6"/>
    </row>
    <row r="58" spans="1:7">
      <c r="D58" s="7"/>
      <c r="E58" s="8"/>
      <c r="F58" s="8"/>
      <c r="G58" s="6"/>
    </row>
    <row r="59" spans="1:7">
      <c r="D59" s="7"/>
      <c r="E59" s="8"/>
      <c r="F59" s="8"/>
      <c r="G59" s="6"/>
    </row>
    <row r="60" spans="1:7">
      <c r="D60" s="7"/>
      <c r="E60" s="8"/>
      <c r="F60" s="8"/>
      <c r="G60" s="6"/>
    </row>
    <row r="61" spans="1:7">
      <c r="D61" s="7"/>
      <c r="E61" s="8"/>
      <c r="F61" s="8"/>
      <c r="G61" s="6"/>
    </row>
    <row r="62" spans="1:7">
      <c r="D62" s="7"/>
      <c r="E62" s="8"/>
      <c r="F62" s="8"/>
      <c r="G62" s="6"/>
    </row>
    <row r="63" spans="1:7">
      <c r="D63" s="7"/>
      <c r="E63" s="8"/>
      <c r="F63" s="8"/>
      <c r="G63" s="6"/>
    </row>
    <row r="64" spans="1:7">
      <c r="D64" s="7"/>
      <c r="E64" s="8"/>
      <c r="F64" s="8"/>
      <c r="G64" s="6"/>
    </row>
    <row r="65" spans="4:7">
      <c r="D65" s="7"/>
      <c r="E65" s="8"/>
      <c r="F65" s="8"/>
      <c r="G65" s="6"/>
    </row>
    <row r="66" spans="4:7">
      <c r="D66" s="7"/>
      <c r="E66" s="8"/>
      <c r="F66" s="8"/>
      <c r="G66" s="6"/>
    </row>
    <row r="67" spans="4:7">
      <c r="D67" s="7"/>
      <c r="E67" s="8"/>
      <c r="F67" s="8"/>
      <c r="G67" s="6"/>
    </row>
    <row r="68" spans="4:7">
      <c r="D68" s="7"/>
      <c r="E68" s="8"/>
      <c r="F68" s="8"/>
      <c r="G68" s="6"/>
    </row>
    <row r="69" spans="4:7">
      <c r="D69" s="7"/>
      <c r="E69" s="8"/>
      <c r="F69" s="8"/>
      <c r="G69" s="6"/>
    </row>
  </sheetData>
  <mergeCells count="46">
    <mergeCell ref="A17:A18"/>
    <mergeCell ref="C25:E25"/>
    <mergeCell ref="L10:L13"/>
    <mergeCell ref="L25:L26"/>
    <mergeCell ref="C20:E20"/>
    <mergeCell ref="C21:E21"/>
    <mergeCell ref="C22:E22"/>
    <mergeCell ref="C23:E23"/>
    <mergeCell ref="C24:E24"/>
    <mergeCell ref="I25:I26"/>
    <mergeCell ref="J25:J26"/>
    <mergeCell ref="K25:K26"/>
    <mergeCell ref="C11:E11"/>
    <mergeCell ref="C12:E12"/>
    <mergeCell ref="C13:E13"/>
    <mergeCell ref="J10:J13"/>
    <mergeCell ref="A19:L19"/>
    <mergeCell ref="C17:E17"/>
    <mergeCell ref="C8:E8"/>
    <mergeCell ref="C9:E9"/>
    <mergeCell ref="C10:E10"/>
    <mergeCell ref="C26:E26"/>
    <mergeCell ref="C27:E27"/>
    <mergeCell ref="C18:E18"/>
    <mergeCell ref="A31:G31"/>
    <mergeCell ref="H31:L31"/>
    <mergeCell ref="A28:G28"/>
    <mergeCell ref="H28:L28"/>
    <mergeCell ref="A29:G29"/>
    <mergeCell ref="H29:L29"/>
    <mergeCell ref="A4:L4"/>
    <mergeCell ref="C5:E5"/>
    <mergeCell ref="A30:G30"/>
    <mergeCell ref="A6:A16"/>
    <mergeCell ref="F10:F13"/>
    <mergeCell ref="H10:H13"/>
    <mergeCell ref="B25:B26"/>
    <mergeCell ref="H25:H26"/>
    <mergeCell ref="A20:A27"/>
    <mergeCell ref="K10:K13"/>
    <mergeCell ref="C14:E14"/>
    <mergeCell ref="C15:E15"/>
    <mergeCell ref="C16:E16"/>
    <mergeCell ref="I10:I13"/>
    <mergeCell ref="C6:E6"/>
    <mergeCell ref="C7:E7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Views>
    <sheetView zoomScale="70" zoomScaleNormal="70" workbookViewId="0">
      <pane ySplit="3" topLeftCell="A4" activePane="bottomLeft" state="frozen"/>
      <selection activeCell="A4" sqref="A4:L4"/>
      <selection pane="bottomLeft" activeCell="O19" sqref="O19"/>
    </sheetView>
  </sheetViews>
  <sheetFormatPr defaultColWidth="8.875" defaultRowHeight="15.75"/>
  <cols>
    <col min="1" max="12" width="15.875" style="9" customWidth="1"/>
    <col min="13" max="16384" width="8.875" style="9"/>
  </cols>
  <sheetData>
    <row r="1" spans="1:12" s="20" customFormat="1" ht="30" customHeight="1">
      <c r="A1" s="54" t="s">
        <v>26</v>
      </c>
      <c r="B1" s="55" t="s">
        <v>4</v>
      </c>
      <c r="C1" s="55" t="s">
        <v>8</v>
      </c>
      <c r="D1" s="55" t="s">
        <v>7</v>
      </c>
      <c r="E1" s="55" t="s">
        <v>22</v>
      </c>
      <c r="F1" s="55" t="s">
        <v>9</v>
      </c>
      <c r="G1" s="16" t="s">
        <v>23</v>
      </c>
      <c r="H1" s="17" t="s">
        <v>24</v>
      </c>
      <c r="I1" s="19" t="s">
        <v>5</v>
      </c>
    </row>
    <row r="2" spans="1:12" ht="30" customHeight="1" thickBot="1">
      <c r="A2" s="35" t="s">
        <v>52</v>
      </c>
      <c r="B2" s="47" t="s">
        <v>55</v>
      </c>
      <c r="C2" s="34">
        <v>43000</v>
      </c>
      <c r="D2" s="32">
        <v>415</v>
      </c>
      <c r="E2" s="2">
        <v>43000</v>
      </c>
      <c r="F2" s="2">
        <f>H26-E2</f>
        <v>37798</v>
      </c>
      <c r="G2" s="2" t="s">
        <v>168</v>
      </c>
      <c r="H2" s="2" t="s">
        <v>168</v>
      </c>
      <c r="I2" s="3">
        <f>SUM(E2:H2)</f>
        <v>80798</v>
      </c>
    </row>
    <row r="3" spans="1:12" ht="30" customHeight="1" thickBot="1">
      <c r="A3" s="7"/>
      <c r="B3" s="7"/>
      <c r="C3" s="7"/>
      <c r="D3" s="8"/>
      <c r="E3" s="7"/>
      <c r="F3" s="8"/>
      <c r="G3" s="8"/>
      <c r="H3" s="6"/>
    </row>
    <row r="4" spans="1:12" ht="30" customHeight="1">
      <c r="A4" s="142" t="s">
        <v>65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4"/>
    </row>
    <row r="5" spans="1:12" ht="30" customHeight="1">
      <c r="A5" s="97" t="s">
        <v>15</v>
      </c>
      <c r="B5" s="95" t="s">
        <v>16</v>
      </c>
      <c r="C5" s="175" t="s">
        <v>17</v>
      </c>
      <c r="D5" s="175"/>
      <c r="E5" s="175"/>
      <c r="F5" s="95" t="s">
        <v>18</v>
      </c>
      <c r="G5" s="95" t="s">
        <v>19</v>
      </c>
      <c r="H5" s="95" t="s">
        <v>20</v>
      </c>
      <c r="I5" s="96" t="s">
        <v>38</v>
      </c>
      <c r="J5" s="96" t="s">
        <v>21</v>
      </c>
      <c r="K5" s="96" t="s">
        <v>42</v>
      </c>
      <c r="L5" s="98" t="s">
        <v>46</v>
      </c>
    </row>
    <row r="6" spans="1:12" ht="30" customHeight="1">
      <c r="A6" s="178" t="s">
        <v>66</v>
      </c>
      <c r="B6" s="75" t="s">
        <v>82</v>
      </c>
      <c r="C6" s="179" t="s">
        <v>83</v>
      </c>
      <c r="D6" s="179"/>
      <c r="E6" s="179"/>
      <c r="F6" s="76">
        <v>46035</v>
      </c>
      <c r="G6" s="77" t="s">
        <v>84</v>
      </c>
      <c r="H6" s="78">
        <v>2123810</v>
      </c>
      <c r="I6" s="78">
        <v>13748</v>
      </c>
      <c r="J6" s="79" t="s">
        <v>166</v>
      </c>
      <c r="K6" s="80" t="s">
        <v>166</v>
      </c>
      <c r="L6" s="81" t="s">
        <v>166</v>
      </c>
    </row>
    <row r="7" spans="1:12" ht="30" customHeight="1">
      <c r="A7" s="178"/>
      <c r="B7" s="75" t="s">
        <v>101</v>
      </c>
      <c r="C7" s="179" t="s">
        <v>102</v>
      </c>
      <c r="D7" s="179"/>
      <c r="E7" s="179"/>
      <c r="F7" s="79" t="s">
        <v>103</v>
      </c>
      <c r="G7" s="77" t="s">
        <v>84</v>
      </c>
      <c r="H7" s="78">
        <v>670450</v>
      </c>
      <c r="I7" s="78">
        <v>4071</v>
      </c>
      <c r="J7" s="78">
        <v>6785</v>
      </c>
      <c r="K7" s="80" t="s">
        <v>166</v>
      </c>
      <c r="L7" s="81" t="s">
        <v>166</v>
      </c>
    </row>
    <row r="8" spans="1:12" ht="30" customHeight="1">
      <c r="A8" s="178"/>
      <c r="B8" s="75" t="s">
        <v>106</v>
      </c>
      <c r="C8" s="179" t="s">
        <v>107</v>
      </c>
      <c r="D8" s="179"/>
      <c r="E8" s="179"/>
      <c r="F8" s="76">
        <v>46317</v>
      </c>
      <c r="G8" s="77" t="s">
        <v>84</v>
      </c>
      <c r="H8" s="78">
        <v>152663</v>
      </c>
      <c r="I8" s="105" t="s">
        <v>166</v>
      </c>
      <c r="J8" s="79" t="s">
        <v>166</v>
      </c>
      <c r="K8" s="90">
        <v>5608</v>
      </c>
      <c r="L8" s="81" t="s">
        <v>166</v>
      </c>
    </row>
    <row r="9" spans="1:12" ht="30" customHeight="1">
      <c r="A9" s="178"/>
      <c r="B9" s="75" t="s">
        <v>108</v>
      </c>
      <c r="C9" s="211" t="s">
        <v>109</v>
      </c>
      <c r="D9" s="211"/>
      <c r="E9" s="211"/>
      <c r="F9" s="194" t="s">
        <v>110</v>
      </c>
      <c r="G9" s="88" t="s">
        <v>111</v>
      </c>
      <c r="H9" s="195">
        <v>1730095</v>
      </c>
      <c r="I9" s="207" t="s">
        <v>166</v>
      </c>
      <c r="J9" s="199">
        <v>10893</v>
      </c>
      <c r="K9" s="179" t="s">
        <v>166</v>
      </c>
      <c r="L9" s="206" t="s">
        <v>166</v>
      </c>
    </row>
    <row r="10" spans="1:12" ht="30" customHeight="1">
      <c r="A10" s="178"/>
      <c r="B10" s="75" t="s">
        <v>108</v>
      </c>
      <c r="C10" s="211" t="s">
        <v>113</v>
      </c>
      <c r="D10" s="211"/>
      <c r="E10" s="211"/>
      <c r="F10" s="194"/>
      <c r="G10" s="88" t="s">
        <v>111</v>
      </c>
      <c r="H10" s="195"/>
      <c r="I10" s="207"/>
      <c r="J10" s="199"/>
      <c r="K10" s="179"/>
      <c r="L10" s="206"/>
    </row>
    <row r="11" spans="1:12" ht="30" customHeight="1">
      <c r="A11" s="178"/>
      <c r="B11" s="75" t="s">
        <v>108</v>
      </c>
      <c r="C11" s="211" t="s">
        <v>114</v>
      </c>
      <c r="D11" s="211"/>
      <c r="E11" s="211"/>
      <c r="F11" s="194"/>
      <c r="G11" s="88" t="s">
        <v>111</v>
      </c>
      <c r="H11" s="195"/>
      <c r="I11" s="207"/>
      <c r="J11" s="199"/>
      <c r="K11" s="179"/>
      <c r="L11" s="206"/>
    </row>
    <row r="12" spans="1:12" ht="30" customHeight="1">
      <c r="A12" s="178"/>
      <c r="B12" s="75" t="s">
        <v>108</v>
      </c>
      <c r="C12" s="211" t="s">
        <v>115</v>
      </c>
      <c r="D12" s="211"/>
      <c r="E12" s="211"/>
      <c r="F12" s="194"/>
      <c r="G12" s="88" t="s">
        <v>111</v>
      </c>
      <c r="H12" s="195"/>
      <c r="I12" s="207"/>
      <c r="J12" s="199"/>
      <c r="K12" s="179"/>
      <c r="L12" s="206"/>
    </row>
    <row r="13" spans="1:12" ht="30" customHeight="1">
      <c r="A13" s="178"/>
      <c r="B13" s="75" t="s">
        <v>108</v>
      </c>
      <c r="C13" s="211" t="s">
        <v>118</v>
      </c>
      <c r="D13" s="211"/>
      <c r="E13" s="211"/>
      <c r="F13" s="85">
        <v>46350</v>
      </c>
      <c r="G13" s="89" t="s">
        <v>111</v>
      </c>
      <c r="H13" s="87">
        <v>66654</v>
      </c>
      <c r="I13" s="80" t="s">
        <v>166</v>
      </c>
      <c r="J13" s="93">
        <v>1343</v>
      </c>
      <c r="K13" s="80" t="s">
        <v>166</v>
      </c>
      <c r="L13" s="81" t="s">
        <v>166</v>
      </c>
    </row>
    <row r="14" spans="1:12" ht="30" customHeight="1">
      <c r="A14" s="178"/>
      <c r="B14" s="75" t="s">
        <v>108</v>
      </c>
      <c r="C14" s="211" t="s">
        <v>119</v>
      </c>
      <c r="D14" s="211"/>
      <c r="E14" s="211"/>
      <c r="F14" s="194" t="s">
        <v>120</v>
      </c>
      <c r="G14" s="210" t="s">
        <v>84</v>
      </c>
      <c r="H14" s="87">
        <v>2615477</v>
      </c>
      <c r="I14" s="103" t="s">
        <v>166</v>
      </c>
      <c r="J14" s="78">
        <v>13889</v>
      </c>
      <c r="K14" s="80" t="s">
        <v>166</v>
      </c>
      <c r="L14" s="81" t="s">
        <v>166</v>
      </c>
    </row>
    <row r="15" spans="1:12" ht="30" customHeight="1">
      <c r="A15" s="178"/>
      <c r="B15" s="75" t="s">
        <v>108</v>
      </c>
      <c r="C15" s="211" t="s">
        <v>121</v>
      </c>
      <c r="D15" s="211"/>
      <c r="E15" s="211"/>
      <c r="F15" s="194"/>
      <c r="G15" s="210"/>
      <c r="H15" s="87">
        <v>218732</v>
      </c>
      <c r="I15" s="80" t="s">
        <v>166</v>
      </c>
      <c r="J15" s="79">
        <v>16</v>
      </c>
      <c r="K15" s="80" t="s">
        <v>166</v>
      </c>
      <c r="L15" s="81" t="s">
        <v>166</v>
      </c>
    </row>
    <row r="16" spans="1:12" ht="30" customHeight="1">
      <c r="A16" s="178"/>
      <c r="B16" s="75" t="s">
        <v>108</v>
      </c>
      <c r="C16" s="211" t="s">
        <v>122</v>
      </c>
      <c r="D16" s="211"/>
      <c r="E16" s="211"/>
      <c r="F16" s="194"/>
      <c r="G16" s="210"/>
      <c r="H16" s="87">
        <v>242000</v>
      </c>
      <c r="I16" s="80" t="s">
        <v>166</v>
      </c>
      <c r="J16" s="78">
        <v>1104</v>
      </c>
      <c r="K16" s="80" t="s">
        <v>166</v>
      </c>
      <c r="L16" s="81" t="s">
        <v>166</v>
      </c>
    </row>
    <row r="17" spans="1:12" ht="30" customHeight="1">
      <c r="A17" s="181" t="s">
        <v>171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3"/>
    </row>
    <row r="18" spans="1:12" ht="30" customHeight="1">
      <c r="A18" s="180" t="s">
        <v>167</v>
      </c>
      <c r="B18" s="82" t="s">
        <v>155</v>
      </c>
      <c r="C18" s="179" t="s">
        <v>156</v>
      </c>
      <c r="D18" s="179"/>
      <c r="E18" s="179"/>
      <c r="F18" s="91">
        <v>46043</v>
      </c>
      <c r="G18" s="79" t="s">
        <v>84</v>
      </c>
      <c r="H18" s="78">
        <v>267000</v>
      </c>
      <c r="I18" s="80" t="s">
        <v>166</v>
      </c>
      <c r="J18" s="80" t="s">
        <v>166</v>
      </c>
      <c r="K18" s="90">
        <v>3430</v>
      </c>
      <c r="L18" s="81" t="s">
        <v>166</v>
      </c>
    </row>
    <row r="19" spans="1:12" ht="30" customHeight="1">
      <c r="A19" s="180"/>
      <c r="B19" s="82" t="s">
        <v>157</v>
      </c>
      <c r="C19" s="179" t="s">
        <v>158</v>
      </c>
      <c r="D19" s="179"/>
      <c r="E19" s="179"/>
      <c r="F19" s="83">
        <v>46136</v>
      </c>
      <c r="G19" s="80" t="s">
        <v>76</v>
      </c>
      <c r="H19" s="84">
        <v>423500</v>
      </c>
      <c r="I19" s="78">
        <v>1236</v>
      </c>
      <c r="J19" s="78">
        <v>2059</v>
      </c>
      <c r="K19" s="80" t="s">
        <v>166</v>
      </c>
      <c r="L19" s="81" t="s">
        <v>166</v>
      </c>
    </row>
    <row r="20" spans="1:12" ht="30" customHeight="1">
      <c r="A20" s="180"/>
      <c r="B20" s="82" t="s">
        <v>159</v>
      </c>
      <c r="C20" s="179" t="s">
        <v>160</v>
      </c>
      <c r="D20" s="179"/>
      <c r="E20" s="179"/>
      <c r="F20" s="83">
        <v>46166</v>
      </c>
      <c r="G20" s="80" t="s">
        <v>161</v>
      </c>
      <c r="H20" s="84">
        <v>1043070</v>
      </c>
      <c r="I20" s="103" t="s">
        <v>166</v>
      </c>
      <c r="J20" s="93">
        <v>14438</v>
      </c>
      <c r="K20" s="80" t="s">
        <v>166</v>
      </c>
      <c r="L20" s="81" t="s">
        <v>166</v>
      </c>
    </row>
    <row r="21" spans="1:12" ht="30" customHeight="1">
      <c r="A21" s="180"/>
      <c r="B21" s="82" t="s">
        <v>162</v>
      </c>
      <c r="C21" s="179" t="s">
        <v>163</v>
      </c>
      <c r="D21" s="179"/>
      <c r="E21" s="179"/>
      <c r="F21" s="83">
        <v>46226</v>
      </c>
      <c r="G21" s="80" t="s">
        <v>76</v>
      </c>
      <c r="H21" s="84">
        <v>49700</v>
      </c>
      <c r="I21" s="80" t="s">
        <v>166</v>
      </c>
      <c r="J21" s="80" t="s">
        <v>166</v>
      </c>
      <c r="K21" s="90">
        <v>1443</v>
      </c>
      <c r="L21" s="81" t="s">
        <v>166</v>
      </c>
    </row>
    <row r="22" spans="1:12" ht="30" customHeight="1">
      <c r="A22" s="180"/>
      <c r="B22" s="82" t="s">
        <v>164</v>
      </c>
      <c r="C22" s="179" t="s">
        <v>165</v>
      </c>
      <c r="D22" s="179"/>
      <c r="E22" s="179"/>
      <c r="F22" s="83">
        <v>46374</v>
      </c>
      <c r="G22" s="80" t="s">
        <v>76</v>
      </c>
      <c r="H22" s="84">
        <v>13640</v>
      </c>
      <c r="I22" s="80" t="s">
        <v>166</v>
      </c>
      <c r="J22" s="80" t="s">
        <v>166</v>
      </c>
      <c r="K22" s="80">
        <v>735</v>
      </c>
      <c r="L22" s="81" t="s">
        <v>166</v>
      </c>
    </row>
    <row r="23" spans="1:12" ht="30" customHeight="1">
      <c r="A23" s="186" t="s">
        <v>58</v>
      </c>
      <c r="B23" s="187"/>
      <c r="C23" s="187"/>
      <c r="D23" s="187"/>
      <c r="E23" s="187"/>
      <c r="F23" s="187"/>
      <c r="G23" s="187"/>
      <c r="H23" s="188">
        <f>SUM(H18:H22)</f>
        <v>1796910</v>
      </c>
      <c r="I23" s="188"/>
      <c r="J23" s="188"/>
      <c r="K23" s="188"/>
      <c r="L23" s="189"/>
    </row>
    <row r="24" spans="1:12" ht="30" customHeight="1">
      <c r="A24" s="190" t="s">
        <v>43</v>
      </c>
      <c r="B24" s="191"/>
      <c r="C24" s="191"/>
      <c r="D24" s="191"/>
      <c r="E24" s="191"/>
      <c r="F24" s="191"/>
      <c r="G24" s="191"/>
      <c r="H24" s="192">
        <v>0</v>
      </c>
      <c r="I24" s="192"/>
      <c r="J24" s="192"/>
      <c r="K24" s="192"/>
      <c r="L24" s="193"/>
    </row>
    <row r="25" spans="1:12" ht="30" customHeight="1">
      <c r="A25" s="176" t="s">
        <v>59</v>
      </c>
      <c r="B25" s="177"/>
      <c r="C25" s="177"/>
      <c r="D25" s="177"/>
      <c r="E25" s="177"/>
      <c r="F25" s="177"/>
      <c r="G25" s="177"/>
      <c r="H25" s="14">
        <f>H24</f>
        <v>0</v>
      </c>
      <c r="I25" s="14">
        <f>SUM(I6:I22)</f>
        <v>19055</v>
      </c>
      <c r="J25" s="14">
        <f t="shared" ref="J25:L25" si="0">SUM(J6:J22)</f>
        <v>50527</v>
      </c>
      <c r="K25" s="14">
        <f t="shared" si="0"/>
        <v>11216</v>
      </c>
      <c r="L25" s="37">
        <f t="shared" si="0"/>
        <v>0</v>
      </c>
    </row>
    <row r="26" spans="1:12" ht="30" customHeight="1" thickBot="1">
      <c r="A26" s="148" t="s">
        <v>27</v>
      </c>
      <c r="B26" s="149"/>
      <c r="C26" s="149"/>
      <c r="D26" s="149"/>
      <c r="E26" s="149"/>
      <c r="F26" s="149"/>
      <c r="G26" s="149"/>
      <c r="H26" s="184">
        <f>SUM(H25:L25)</f>
        <v>80798</v>
      </c>
      <c r="I26" s="184"/>
      <c r="J26" s="184"/>
      <c r="K26" s="184"/>
      <c r="L26" s="185"/>
    </row>
    <row r="27" spans="1:12" ht="21">
      <c r="A27" s="56"/>
      <c r="B27" s="7"/>
      <c r="C27" s="7"/>
      <c r="D27" s="8"/>
      <c r="E27" s="7"/>
      <c r="F27" s="8"/>
      <c r="G27" s="8"/>
      <c r="H27" s="6"/>
    </row>
    <row r="28" spans="1:12" ht="21">
      <c r="A28" s="56" t="s">
        <v>34</v>
      </c>
      <c r="B28" s="7"/>
      <c r="C28" s="7"/>
      <c r="D28" s="8"/>
      <c r="E28" s="7"/>
      <c r="F28" s="8"/>
      <c r="G28" s="8"/>
      <c r="H28" s="6"/>
    </row>
    <row r="29" spans="1:12" ht="21">
      <c r="A29" s="56" t="s">
        <v>32</v>
      </c>
      <c r="B29" s="7"/>
      <c r="C29" s="7"/>
      <c r="D29" s="8"/>
      <c r="E29" s="7"/>
      <c r="F29" s="8"/>
      <c r="G29" s="8"/>
      <c r="H29" s="6"/>
    </row>
    <row r="30" spans="1:12" ht="21.75" thickBot="1">
      <c r="B30" s="7"/>
      <c r="C30" s="7"/>
      <c r="D30" s="8"/>
      <c r="E30" s="7"/>
      <c r="I30" s="4" t="s">
        <v>10</v>
      </c>
      <c r="J30" s="5"/>
      <c r="K30" s="5"/>
      <c r="L30" s="5"/>
    </row>
    <row r="31" spans="1:12">
      <c r="A31" s="7"/>
      <c r="B31" s="7"/>
      <c r="C31" s="7"/>
      <c r="D31" s="8"/>
      <c r="E31" s="7"/>
      <c r="F31" s="8"/>
      <c r="G31" s="8"/>
      <c r="H31" s="6"/>
    </row>
    <row r="32" spans="1:12">
      <c r="A32" s="7"/>
      <c r="B32" s="7"/>
      <c r="C32" s="7"/>
      <c r="D32" s="8"/>
      <c r="E32" s="7"/>
    </row>
    <row r="33" spans="1:8">
      <c r="A33" s="7"/>
      <c r="B33" s="7"/>
      <c r="C33" s="7"/>
      <c r="D33" s="8"/>
      <c r="E33" s="7"/>
      <c r="F33" s="8"/>
      <c r="G33" s="8"/>
      <c r="H33" s="6"/>
    </row>
    <row r="34" spans="1:8">
      <c r="A34" s="7"/>
      <c r="B34" s="7"/>
      <c r="C34" s="7"/>
      <c r="D34" s="8"/>
      <c r="E34" s="7"/>
      <c r="F34" s="8"/>
      <c r="G34" s="8"/>
      <c r="H34" s="6"/>
    </row>
    <row r="35" spans="1:8">
      <c r="A35" s="7"/>
      <c r="B35" s="7"/>
      <c r="C35" s="7"/>
      <c r="D35" s="8"/>
      <c r="E35" s="7"/>
      <c r="F35" s="8"/>
      <c r="G35" s="8"/>
      <c r="H35" s="6"/>
    </row>
    <row r="36" spans="1:8">
      <c r="A36" s="7"/>
      <c r="B36" s="7"/>
      <c r="C36" s="7"/>
      <c r="D36" s="8"/>
      <c r="E36" s="7"/>
      <c r="F36" s="8"/>
      <c r="G36" s="8"/>
      <c r="H36" s="6"/>
    </row>
    <row r="37" spans="1:8">
      <c r="A37" s="7"/>
      <c r="B37" s="7"/>
      <c r="C37" s="7"/>
      <c r="D37" s="8"/>
      <c r="E37" s="7"/>
      <c r="F37" s="8"/>
      <c r="G37" s="8"/>
      <c r="H37" s="6"/>
    </row>
    <row r="38" spans="1:8">
      <c r="A38" s="7"/>
      <c r="B38" s="7"/>
      <c r="C38" s="7"/>
      <c r="D38" s="8"/>
      <c r="E38" s="7"/>
      <c r="F38" s="8"/>
      <c r="G38" s="8"/>
      <c r="H38" s="6"/>
    </row>
    <row r="39" spans="1:8">
      <c r="A39" s="7"/>
      <c r="B39" s="7"/>
      <c r="C39" s="7"/>
      <c r="D39" s="8"/>
      <c r="E39" s="7"/>
      <c r="F39" s="8"/>
      <c r="G39" s="8"/>
      <c r="H39" s="6"/>
    </row>
    <row r="40" spans="1:8">
      <c r="A40" s="7"/>
      <c r="B40" s="7"/>
      <c r="C40" s="7"/>
      <c r="D40" s="8"/>
      <c r="E40" s="7"/>
      <c r="F40" s="8"/>
      <c r="G40" s="8"/>
      <c r="H40" s="6"/>
    </row>
    <row r="41" spans="1:8">
      <c r="A41" s="7"/>
      <c r="B41" s="7"/>
      <c r="C41" s="7"/>
      <c r="D41" s="8"/>
      <c r="E41" s="7"/>
      <c r="F41" s="8"/>
      <c r="G41" s="8"/>
      <c r="H41" s="6"/>
    </row>
    <row r="42" spans="1:8">
      <c r="A42" s="7"/>
      <c r="B42" s="7"/>
      <c r="C42" s="7"/>
      <c r="D42" s="8"/>
      <c r="E42" s="7"/>
      <c r="F42" s="8"/>
      <c r="G42" s="8"/>
      <c r="H42" s="6"/>
    </row>
    <row r="43" spans="1:8">
      <c r="A43" s="7"/>
      <c r="B43" s="7"/>
      <c r="C43" s="7"/>
      <c r="D43" s="8"/>
      <c r="E43" s="7"/>
      <c r="F43" s="8"/>
      <c r="G43" s="8"/>
      <c r="H43" s="6"/>
    </row>
    <row r="44" spans="1:8">
      <c r="A44" s="7"/>
      <c r="B44" s="7"/>
      <c r="C44" s="7"/>
      <c r="D44" s="7"/>
      <c r="E44" s="8"/>
      <c r="F44" s="8"/>
      <c r="G44" s="6"/>
    </row>
    <row r="45" spans="1:8">
      <c r="A45" s="7"/>
      <c r="B45" s="7"/>
      <c r="C45" s="7"/>
      <c r="D45" s="7"/>
      <c r="E45" s="8"/>
      <c r="F45" s="8"/>
      <c r="G45" s="6"/>
    </row>
    <row r="46" spans="1:8">
      <c r="A46" s="7"/>
      <c r="B46" s="7"/>
      <c r="C46" s="7"/>
      <c r="D46" s="7"/>
      <c r="E46" s="8"/>
      <c r="F46" s="8"/>
      <c r="G46" s="6"/>
    </row>
    <row r="47" spans="1:8">
      <c r="A47" s="7"/>
      <c r="B47" s="7"/>
      <c r="C47" s="7"/>
      <c r="D47" s="7"/>
      <c r="E47" s="8"/>
      <c r="F47" s="8"/>
      <c r="G47" s="6"/>
    </row>
    <row r="48" spans="1:8">
      <c r="A48" s="7"/>
      <c r="B48" s="7"/>
      <c r="C48" s="7"/>
      <c r="D48" s="7"/>
      <c r="E48" s="8"/>
      <c r="F48" s="8"/>
      <c r="G48" s="6"/>
    </row>
    <row r="49" spans="1:7">
      <c r="A49" s="7"/>
      <c r="B49" s="7"/>
      <c r="C49" s="7"/>
      <c r="D49" s="7"/>
      <c r="E49" s="8"/>
      <c r="F49" s="8"/>
      <c r="G49" s="6"/>
    </row>
    <row r="50" spans="1:7">
      <c r="A50" s="7"/>
      <c r="B50" s="7"/>
      <c r="C50" s="7"/>
      <c r="D50" s="7"/>
      <c r="E50" s="8"/>
      <c r="F50" s="8"/>
      <c r="G50" s="6"/>
    </row>
    <row r="51" spans="1:7">
      <c r="A51" s="7"/>
      <c r="B51" s="7"/>
      <c r="C51" s="7"/>
      <c r="D51" s="7"/>
      <c r="E51" s="8"/>
      <c r="F51" s="8"/>
      <c r="G51" s="6"/>
    </row>
    <row r="52" spans="1:7">
      <c r="A52" s="7"/>
      <c r="B52" s="7"/>
      <c r="C52" s="7"/>
      <c r="D52" s="7"/>
      <c r="E52" s="8"/>
      <c r="F52" s="8"/>
      <c r="G52" s="6"/>
    </row>
    <row r="53" spans="1:7">
      <c r="D53" s="7"/>
      <c r="E53" s="8"/>
      <c r="F53" s="8"/>
      <c r="G53" s="6"/>
    </row>
    <row r="54" spans="1:7">
      <c r="D54" s="7"/>
      <c r="E54" s="8"/>
      <c r="F54" s="8"/>
      <c r="G54" s="6"/>
    </row>
    <row r="55" spans="1:7">
      <c r="D55" s="7"/>
      <c r="E55" s="8"/>
      <c r="F55" s="8"/>
      <c r="G55" s="6"/>
    </row>
    <row r="56" spans="1:7">
      <c r="D56" s="7"/>
      <c r="E56" s="8"/>
      <c r="F56" s="8"/>
      <c r="G56" s="6"/>
    </row>
    <row r="57" spans="1:7">
      <c r="D57" s="7"/>
      <c r="E57" s="8"/>
      <c r="F57" s="8"/>
      <c r="G57" s="6"/>
    </row>
    <row r="58" spans="1:7">
      <c r="D58" s="7"/>
      <c r="E58" s="8"/>
      <c r="F58" s="8"/>
      <c r="G58" s="6"/>
    </row>
    <row r="59" spans="1:7">
      <c r="D59" s="7"/>
      <c r="E59" s="8"/>
      <c r="F59" s="8"/>
      <c r="G59" s="6"/>
    </row>
    <row r="60" spans="1:7">
      <c r="D60" s="7"/>
      <c r="E60" s="8"/>
      <c r="F60" s="8"/>
      <c r="G60" s="6"/>
    </row>
    <row r="61" spans="1:7">
      <c r="D61" s="7"/>
      <c r="E61" s="8"/>
      <c r="F61" s="8"/>
      <c r="G61" s="6"/>
    </row>
    <row r="62" spans="1:7">
      <c r="D62" s="7"/>
      <c r="E62" s="8"/>
      <c r="F62" s="8"/>
      <c r="G62" s="6"/>
    </row>
    <row r="63" spans="1:7">
      <c r="D63" s="7"/>
      <c r="E63" s="8"/>
      <c r="F63" s="8"/>
      <c r="G63" s="6"/>
    </row>
    <row r="64" spans="1:7">
      <c r="D64" s="7"/>
      <c r="E64" s="8"/>
      <c r="F64" s="8"/>
      <c r="G64" s="6"/>
    </row>
  </sheetData>
  <mergeCells count="36">
    <mergeCell ref="C19:E19"/>
    <mergeCell ref="A18:A22"/>
    <mergeCell ref="L9:L12"/>
    <mergeCell ref="C22:E22"/>
    <mergeCell ref="C9:E9"/>
    <mergeCell ref="C10:E10"/>
    <mergeCell ref="C11:E11"/>
    <mergeCell ref="C12:E12"/>
    <mergeCell ref="C13:E13"/>
    <mergeCell ref="C14:E14"/>
    <mergeCell ref="C15:E15"/>
    <mergeCell ref="C16:E16"/>
    <mergeCell ref="C20:E20"/>
    <mergeCell ref="C21:E21"/>
    <mergeCell ref="A26:G26"/>
    <mergeCell ref="H26:L26"/>
    <mergeCell ref="A23:G23"/>
    <mergeCell ref="H23:L23"/>
    <mergeCell ref="A24:G24"/>
    <mergeCell ref="H24:L24"/>
    <mergeCell ref="A4:L4"/>
    <mergeCell ref="C5:E5"/>
    <mergeCell ref="A25:G25"/>
    <mergeCell ref="A6:A16"/>
    <mergeCell ref="F9:F12"/>
    <mergeCell ref="F14:F16"/>
    <mergeCell ref="G14:G16"/>
    <mergeCell ref="H9:H12"/>
    <mergeCell ref="I9:I12"/>
    <mergeCell ref="J9:J12"/>
    <mergeCell ref="K9:K12"/>
    <mergeCell ref="A17:L17"/>
    <mergeCell ref="C6:E6"/>
    <mergeCell ref="C7:E7"/>
    <mergeCell ref="C8:E8"/>
    <mergeCell ref="C18:E18"/>
  </mergeCells>
  <phoneticPr fontId="2" type="noConversion"/>
  <pageMargins left="0.23622047244094488" right="0.23622047244094488" top="0.51181102362204722" bottom="0.51181102362204722" header="0" footer="0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zoomScale="70" zoomScaleNormal="70" workbookViewId="0">
      <pane ySplit="5" topLeftCell="A6" activePane="bottomLeft" state="frozen"/>
      <selection pane="bottomLeft" activeCell="N24" sqref="N24"/>
    </sheetView>
  </sheetViews>
  <sheetFormatPr defaultColWidth="8.875" defaultRowHeight="15.75"/>
  <cols>
    <col min="1" max="13" width="15.875" style="9" customWidth="1"/>
    <col min="14" max="14" width="21.25" style="9" customWidth="1"/>
    <col min="15" max="16384" width="8.875" style="9"/>
  </cols>
  <sheetData>
    <row r="1" spans="1:13" s="20" customFormat="1" ht="30" customHeight="1">
      <c r="A1" s="22" t="s">
        <v>3</v>
      </c>
      <c r="B1" s="46" t="s">
        <v>29</v>
      </c>
      <c r="C1" s="46" t="s">
        <v>8</v>
      </c>
      <c r="D1" s="46" t="s">
        <v>7</v>
      </c>
      <c r="E1" s="46" t="s">
        <v>22</v>
      </c>
      <c r="F1" s="46" t="s">
        <v>9</v>
      </c>
      <c r="G1" s="16" t="s">
        <v>23</v>
      </c>
      <c r="H1" s="17" t="s">
        <v>24</v>
      </c>
      <c r="I1" s="18" t="s">
        <v>5</v>
      </c>
    </row>
    <row r="2" spans="1:13" ht="30" customHeight="1" thickBot="1">
      <c r="A2" s="33" t="s">
        <v>1</v>
      </c>
      <c r="B2" s="31">
        <v>43822</v>
      </c>
      <c r="C2" s="34">
        <v>42000</v>
      </c>
      <c r="D2" s="32">
        <v>2200</v>
      </c>
      <c r="E2" s="2">
        <v>42000</v>
      </c>
      <c r="F2" s="2">
        <f>J37-E2</f>
        <v>87017.353350000005</v>
      </c>
      <c r="G2" s="2" t="s">
        <v>168</v>
      </c>
      <c r="H2" s="2" t="s">
        <v>168</v>
      </c>
      <c r="I2" s="3">
        <f>SUM(E2:H2)</f>
        <v>129017.35335</v>
      </c>
    </row>
    <row r="3" spans="1:13" ht="30" customHeight="1" thickBot="1">
      <c r="A3" s="7"/>
      <c r="B3" s="7"/>
      <c r="C3" s="7"/>
      <c r="D3" s="7"/>
      <c r="E3" s="7"/>
      <c r="F3" s="8"/>
      <c r="G3" s="7"/>
      <c r="H3" s="8"/>
      <c r="I3" s="8"/>
      <c r="J3" s="6"/>
    </row>
    <row r="4" spans="1:13" ht="30" customHeight="1">
      <c r="A4" s="142" t="s">
        <v>65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4"/>
    </row>
    <row r="5" spans="1:13" ht="30" customHeight="1">
      <c r="A5" s="101" t="s">
        <v>15</v>
      </c>
      <c r="B5" s="99" t="s">
        <v>16</v>
      </c>
      <c r="C5" s="220" t="s">
        <v>17</v>
      </c>
      <c r="D5" s="220"/>
      <c r="E5" s="220"/>
      <c r="F5" s="99" t="s">
        <v>18</v>
      </c>
      <c r="G5" s="99" t="s">
        <v>19</v>
      </c>
      <c r="H5" s="99" t="s">
        <v>35</v>
      </c>
      <c r="I5" s="99" t="s">
        <v>36</v>
      </c>
      <c r="J5" s="99" t="s">
        <v>20</v>
      </c>
      <c r="K5" s="100" t="s">
        <v>37</v>
      </c>
      <c r="L5" s="100" t="s">
        <v>38</v>
      </c>
      <c r="M5" s="102" t="s">
        <v>21</v>
      </c>
    </row>
    <row r="6" spans="1:13" ht="30" customHeight="1">
      <c r="A6" s="154" t="s">
        <v>66</v>
      </c>
      <c r="B6" s="57" t="s">
        <v>67</v>
      </c>
      <c r="C6" s="161" t="s">
        <v>68</v>
      </c>
      <c r="D6" s="161"/>
      <c r="E6" s="161"/>
      <c r="F6" s="59">
        <v>46039</v>
      </c>
      <c r="G6" s="60" t="s">
        <v>69</v>
      </c>
      <c r="H6" s="61" t="s">
        <v>70</v>
      </c>
      <c r="I6" s="62" t="s">
        <v>71</v>
      </c>
      <c r="J6" s="63">
        <v>3823810</v>
      </c>
      <c r="K6" s="71">
        <v>11110</v>
      </c>
      <c r="L6" s="72" t="s">
        <v>166</v>
      </c>
      <c r="M6" s="73" t="s">
        <v>166</v>
      </c>
    </row>
    <row r="7" spans="1:13" ht="30" customHeight="1">
      <c r="A7" s="154"/>
      <c r="B7" s="57" t="s">
        <v>72</v>
      </c>
      <c r="C7" s="161" t="s">
        <v>73</v>
      </c>
      <c r="D7" s="161"/>
      <c r="E7" s="161"/>
      <c r="F7" s="59">
        <v>46025</v>
      </c>
      <c r="G7" s="61" t="s">
        <v>74</v>
      </c>
      <c r="H7" s="62" t="s">
        <v>75</v>
      </c>
      <c r="I7" s="61" t="s">
        <v>76</v>
      </c>
      <c r="J7" s="63">
        <v>1142857</v>
      </c>
      <c r="K7" s="72" t="s">
        <v>166</v>
      </c>
      <c r="L7" s="72" t="s">
        <v>166</v>
      </c>
      <c r="M7" s="74">
        <v>9285</v>
      </c>
    </row>
    <row r="8" spans="1:13" ht="30" customHeight="1">
      <c r="A8" s="154"/>
      <c r="B8" s="57" t="s">
        <v>77</v>
      </c>
      <c r="C8" s="161" t="s">
        <v>78</v>
      </c>
      <c r="D8" s="161"/>
      <c r="E8" s="161"/>
      <c r="F8" s="59">
        <v>46029</v>
      </c>
      <c r="G8" s="61" t="s">
        <v>79</v>
      </c>
      <c r="H8" s="61" t="s">
        <v>80</v>
      </c>
      <c r="I8" s="62" t="s">
        <v>81</v>
      </c>
      <c r="J8" s="63">
        <v>609272</v>
      </c>
      <c r="K8" s="71">
        <v>2682</v>
      </c>
      <c r="L8" s="72" t="s">
        <v>166</v>
      </c>
      <c r="M8" s="73" t="s">
        <v>166</v>
      </c>
    </row>
    <row r="9" spans="1:13" ht="30" customHeight="1">
      <c r="A9" s="154"/>
      <c r="B9" s="57" t="s">
        <v>82</v>
      </c>
      <c r="C9" s="161" t="s">
        <v>83</v>
      </c>
      <c r="D9" s="161"/>
      <c r="E9" s="161"/>
      <c r="F9" s="59">
        <v>46035</v>
      </c>
      <c r="G9" s="61" t="s">
        <v>84</v>
      </c>
      <c r="H9" s="61" t="s">
        <v>70</v>
      </c>
      <c r="I9" s="62" t="s">
        <v>85</v>
      </c>
      <c r="J9" s="63">
        <v>2123810</v>
      </c>
      <c r="K9" s="71">
        <v>9165</v>
      </c>
      <c r="L9" s="72" t="s">
        <v>166</v>
      </c>
      <c r="M9" s="73" t="s">
        <v>166</v>
      </c>
    </row>
    <row r="10" spans="1:13" ht="30" customHeight="1">
      <c r="A10" s="154"/>
      <c r="B10" s="57" t="s">
        <v>86</v>
      </c>
      <c r="C10" s="161" t="s">
        <v>87</v>
      </c>
      <c r="D10" s="161"/>
      <c r="E10" s="161"/>
      <c r="F10" s="59">
        <v>46036</v>
      </c>
      <c r="G10" s="60" t="s">
        <v>88</v>
      </c>
      <c r="H10" s="61" t="s">
        <v>70</v>
      </c>
      <c r="I10" s="62" t="s">
        <v>85</v>
      </c>
      <c r="J10" s="63">
        <v>114286</v>
      </c>
      <c r="K10" s="72">
        <v>847</v>
      </c>
      <c r="L10" s="72" t="s">
        <v>166</v>
      </c>
      <c r="M10" s="73" t="s">
        <v>166</v>
      </c>
    </row>
    <row r="11" spans="1:13" ht="30" customHeight="1">
      <c r="A11" s="154"/>
      <c r="B11" s="57" t="s">
        <v>89</v>
      </c>
      <c r="C11" s="161" t="s">
        <v>90</v>
      </c>
      <c r="D11" s="161"/>
      <c r="E11" s="161"/>
      <c r="F11" s="59">
        <v>46108</v>
      </c>
      <c r="G11" s="61" t="s">
        <v>91</v>
      </c>
      <c r="H11" s="62" t="s">
        <v>75</v>
      </c>
      <c r="I11" s="62" t="s">
        <v>75</v>
      </c>
      <c r="J11" s="63">
        <v>177143</v>
      </c>
      <c r="K11" s="72" t="s">
        <v>166</v>
      </c>
      <c r="L11" s="72" t="s">
        <v>166</v>
      </c>
      <c r="M11" s="74">
        <v>3019</v>
      </c>
    </row>
    <row r="12" spans="1:13" ht="30" customHeight="1">
      <c r="A12" s="154"/>
      <c r="B12" s="57" t="s">
        <v>92</v>
      </c>
      <c r="C12" s="161" t="s">
        <v>93</v>
      </c>
      <c r="D12" s="161"/>
      <c r="E12" s="161"/>
      <c r="F12" s="59">
        <v>46088</v>
      </c>
      <c r="G12" s="61" t="s">
        <v>69</v>
      </c>
      <c r="H12" s="62" t="s">
        <v>75</v>
      </c>
      <c r="I12" s="61" t="s">
        <v>70</v>
      </c>
      <c r="J12" s="63">
        <v>65708</v>
      </c>
      <c r="K12" s="72" t="s">
        <v>166</v>
      </c>
      <c r="L12" s="72" t="s">
        <v>166</v>
      </c>
      <c r="M12" s="73">
        <v>754</v>
      </c>
    </row>
    <row r="13" spans="1:13" ht="30" customHeight="1">
      <c r="A13" s="154"/>
      <c r="B13" s="57" t="s">
        <v>101</v>
      </c>
      <c r="C13" s="161" t="s">
        <v>102</v>
      </c>
      <c r="D13" s="161"/>
      <c r="E13" s="161"/>
      <c r="F13" s="60" t="s">
        <v>103</v>
      </c>
      <c r="G13" s="61" t="s">
        <v>84</v>
      </c>
      <c r="H13" s="61" t="s">
        <v>104</v>
      </c>
      <c r="I13" s="64" t="s">
        <v>105</v>
      </c>
      <c r="J13" s="63">
        <v>670450</v>
      </c>
      <c r="K13" s="71">
        <v>2714</v>
      </c>
      <c r="L13" s="72" t="s">
        <v>166</v>
      </c>
      <c r="M13" s="73" t="s">
        <v>166</v>
      </c>
    </row>
    <row r="14" spans="1:13" ht="30" customHeight="1">
      <c r="A14" s="154"/>
      <c r="B14" s="155" t="s">
        <v>108</v>
      </c>
      <c r="C14" s="221" t="s">
        <v>109</v>
      </c>
      <c r="D14" s="221"/>
      <c r="E14" s="221"/>
      <c r="F14" s="222" t="s">
        <v>110</v>
      </c>
      <c r="G14" s="60" t="s">
        <v>111</v>
      </c>
      <c r="H14" s="64" t="s">
        <v>75</v>
      </c>
      <c r="I14" s="61" t="s">
        <v>112</v>
      </c>
      <c r="J14" s="163">
        <v>1730095</v>
      </c>
      <c r="K14" s="223" t="s">
        <v>166</v>
      </c>
      <c r="L14" s="223" t="s">
        <v>166</v>
      </c>
      <c r="M14" s="224">
        <v>10893</v>
      </c>
    </row>
    <row r="15" spans="1:13" ht="30" customHeight="1">
      <c r="A15" s="154"/>
      <c r="B15" s="155"/>
      <c r="C15" s="221" t="s">
        <v>113</v>
      </c>
      <c r="D15" s="221"/>
      <c r="E15" s="221"/>
      <c r="F15" s="222"/>
      <c r="G15" s="60" t="s">
        <v>111</v>
      </c>
      <c r="H15" s="64" t="s">
        <v>75</v>
      </c>
      <c r="I15" s="64" t="s">
        <v>75</v>
      </c>
      <c r="J15" s="163"/>
      <c r="K15" s="223"/>
      <c r="L15" s="223"/>
      <c r="M15" s="224"/>
    </row>
    <row r="16" spans="1:13" ht="30" customHeight="1">
      <c r="A16" s="154"/>
      <c r="B16" s="155"/>
      <c r="C16" s="221" t="s">
        <v>114</v>
      </c>
      <c r="D16" s="221"/>
      <c r="E16" s="221"/>
      <c r="F16" s="222"/>
      <c r="G16" s="60" t="s">
        <v>111</v>
      </c>
      <c r="H16" s="64" t="s">
        <v>75</v>
      </c>
      <c r="I16" s="64" t="s">
        <v>75</v>
      </c>
      <c r="J16" s="163"/>
      <c r="K16" s="223"/>
      <c r="L16" s="223"/>
      <c r="M16" s="224"/>
    </row>
    <row r="17" spans="1:14" ht="30" customHeight="1">
      <c r="A17" s="154"/>
      <c r="B17" s="155"/>
      <c r="C17" s="221" t="s">
        <v>115</v>
      </c>
      <c r="D17" s="221"/>
      <c r="E17" s="221"/>
      <c r="F17" s="222"/>
      <c r="G17" s="60" t="s">
        <v>111</v>
      </c>
      <c r="H17" s="64" t="s">
        <v>75</v>
      </c>
      <c r="I17" s="64" t="s">
        <v>75</v>
      </c>
      <c r="J17" s="163"/>
      <c r="K17" s="223"/>
      <c r="L17" s="223"/>
      <c r="M17" s="224"/>
    </row>
    <row r="18" spans="1:14" ht="30" customHeight="1">
      <c r="A18" s="154"/>
      <c r="B18" s="155"/>
      <c r="C18" s="221" t="s">
        <v>118</v>
      </c>
      <c r="D18" s="221"/>
      <c r="E18" s="221"/>
      <c r="F18" s="59">
        <v>46350</v>
      </c>
      <c r="G18" s="60" t="s">
        <v>111</v>
      </c>
      <c r="H18" s="64" t="s">
        <v>75</v>
      </c>
      <c r="I18" s="64" t="s">
        <v>75</v>
      </c>
      <c r="J18" s="63">
        <v>66654</v>
      </c>
      <c r="K18" s="72" t="s">
        <v>166</v>
      </c>
      <c r="L18" s="72" t="s">
        <v>166</v>
      </c>
      <c r="M18" s="74">
        <v>1343</v>
      </c>
    </row>
    <row r="19" spans="1:14" ht="30" customHeight="1">
      <c r="A19" s="154"/>
      <c r="B19" s="155"/>
      <c r="C19" s="221" t="s">
        <v>119</v>
      </c>
      <c r="D19" s="221"/>
      <c r="E19" s="221"/>
      <c r="F19" s="222" t="s">
        <v>120</v>
      </c>
      <c r="G19" s="219" t="s">
        <v>84</v>
      </c>
      <c r="H19" s="225" t="s">
        <v>75</v>
      </c>
      <c r="I19" s="225" t="s">
        <v>75</v>
      </c>
      <c r="J19" s="63">
        <v>2615477</v>
      </c>
      <c r="K19" s="72" t="s">
        <v>166</v>
      </c>
      <c r="L19" s="72" t="s">
        <v>166</v>
      </c>
      <c r="M19" s="74">
        <v>13889</v>
      </c>
    </row>
    <row r="20" spans="1:14" ht="30" customHeight="1">
      <c r="A20" s="154"/>
      <c r="B20" s="155"/>
      <c r="C20" s="221" t="s">
        <v>121</v>
      </c>
      <c r="D20" s="221"/>
      <c r="E20" s="221"/>
      <c r="F20" s="222"/>
      <c r="G20" s="219"/>
      <c r="H20" s="225"/>
      <c r="I20" s="225"/>
      <c r="J20" s="63">
        <v>218732</v>
      </c>
      <c r="K20" s="72" t="s">
        <v>166</v>
      </c>
      <c r="L20" s="72" t="s">
        <v>166</v>
      </c>
      <c r="M20" s="73">
        <v>16</v>
      </c>
    </row>
    <row r="21" spans="1:14" ht="30" customHeight="1">
      <c r="A21" s="154"/>
      <c r="B21" s="155"/>
      <c r="C21" s="221" t="s">
        <v>122</v>
      </c>
      <c r="D21" s="221"/>
      <c r="E21" s="221"/>
      <c r="F21" s="222"/>
      <c r="G21" s="219"/>
      <c r="H21" s="225"/>
      <c r="I21" s="225"/>
      <c r="J21" s="63">
        <v>242000</v>
      </c>
      <c r="K21" s="72" t="s">
        <v>166</v>
      </c>
      <c r="L21" s="72" t="s">
        <v>166</v>
      </c>
      <c r="M21" s="74">
        <v>1104</v>
      </c>
      <c r="N21" s="120"/>
    </row>
    <row r="22" spans="1:14" ht="30" customHeight="1">
      <c r="A22" s="156" t="s">
        <v>123</v>
      </c>
      <c r="B22" s="65" t="s">
        <v>126</v>
      </c>
      <c r="C22" s="161" t="s">
        <v>127</v>
      </c>
      <c r="D22" s="161"/>
      <c r="E22" s="161"/>
      <c r="F22" s="69">
        <v>46228</v>
      </c>
      <c r="G22" s="60" t="s">
        <v>91</v>
      </c>
      <c r="H22" s="62" t="s">
        <v>75</v>
      </c>
      <c r="I22" s="61" t="s">
        <v>128</v>
      </c>
      <c r="J22" s="67">
        <v>777243</v>
      </c>
      <c r="K22" s="72" t="s">
        <v>166</v>
      </c>
      <c r="L22" s="72" t="s">
        <v>166</v>
      </c>
      <c r="M22" s="74">
        <v>11974</v>
      </c>
    </row>
    <row r="23" spans="1:14" ht="30" customHeight="1">
      <c r="A23" s="156"/>
      <c r="B23" s="65" t="s">
        <v>129</v>
      </c>
      <c r="C23" s="161" t="s">
        <v>130</v>
      </c>
      <c r="D23" s="161"/>
      <c r="E23" s="161"/>
      <c r="F23" s="68">
        <v>39848</v>
      </c>
      <c r="G23" s="58" t="s">
        <v>91</v>
      </c>
      <c r="H23" s="64" t="s">
        <v>75</v>
      </c>
      <c r="I23" s="61" t="s">
        <v>131</v>
      </c>
      <c r="J23" s="67">
        <v>1801737</v>
      </c>
      <c r="K23" s="72" t="s">
        <v>166</v>
      </c>
      <c r="L23" s="71">
        <v>11247</v>
      </c>
      <c r="M23" s="73" t="s">
        <v>166</v>
      </c>
    </row>
    <row r="24" spans="1:14" ht="30" customHeight="1">
      <c r="A24" s="156"/>
      <c r="B24" s="65" t="s">
        <v>132</v>
      </c>
      <c r="C24" s="161" t="s">
        <v>133</v>
      </c>
      <c r="D24" s="161"/>
      <c r="E24" s="161"/>
      <c r="F24" s="66">
        <v>46317</v>
      </c>
      <c r="G24" s="58" t="s">
        <v>84</v>
      </c>
      <c r="H24" s="64" t="s">
        <v>134</v>
      </c>
      <c r="I24" s="58" t="s">
        <v>76</v>
      </c>
      <c r="J24" s="67">
        <v>63950</v>
      </c>
      <c r="K24" s="72" t="s">
        <v>166</v>
      </c>
      <c r="L24" s="72" t="s">
        <v>166</v>
      </c>
      <c r="M24" s="74">
        <v>1064</v>
      </c>
      <c r="N24" s="119"/>
    </row>
    <row r="25" spans="1:14" ht="30" customHeight="1">
      <c r="A25" s="156" t="s">
        <v>135</v>
      </c>
      <c r="B25" s="65" t="s">
        <v>136</v>
      </c>
      <c r="C25" s="161" t="s">
        <v>137</v>
      </c>
      <c r="D25" s="161"/>
      <c r="E25" s="161"/>
      <c r="F25" s="66">
        <v>46259</v>
      </c>
      <c r="G25" s="60" t="s">
        <v>100</v>
      </c>
      <c r="H25" s="64" t="s">
        <v>75</v>
      </c>
      <c r="I25" s="64" t="s">
        <v>75</v>
      </c>
      <c r="J25" s="67">
        <v>571429</v>
      </c>
      <c r="K25" s="72" t="s">
        <v>166</v>
      </c>
      <c r="L25" s="72" t="s">
        <v>166</v>
      </c>
      <c r="M25" s="74">
        <v>5133</v>
      </c>
      <c r="N25" s="119"/>
    </row>
    <row r="26" spans="1:14" ht="30" customHeight="1">
      <c r="A26" s="156"/>
      <c r="B26" s="65" t="s">
        <v>140</v>
      </c>
      <c r="C26" s="161" t="s">
        <v>141</v>
      </c>
      <c r="D26" s="161"/>
      <c r="E26" s="161"/>
      <c r="F26" s="69">
        <v>46284</v>
      </c>
      <c r="G26" s="60" t="s">
        <v>100</v>
      </c>
      <c r="H26" s="64" t="s">
        <v>75</v>
      </c>
      <c r="I26" s="64" t="s">
        <v>75</v>
      </c>
      <c r="J26" s="67">
        <v>359783</v>
      </c>
      <c r="K26" s="72" t="s">
        <v>166</v>
      </c>
      <c r="L26" s="72" t="s">
        <v>166</v>
      </c>
      <c r="M26" s="74">
        <v>6038</v>
      </c>
      <c r="N26" s="119"/>
    </row>
    <row r="27" spans="1:14" ht="30" customHeight="1">
      <c r="A27" s="156"/>
      <c r="B27" s="65" t="s">
        <v>142</v>
      </c>
      <c r="C27" s="161" t="s">
        <v>143</v>
      </c>
      <c r="D27" s="161"/>
      <c r="E27" s="161"/>
      <c r="F27" s="69">
        <v>46289</v>
      </c>
      <c r="G27" s="58" t="s">
        <v>76</v>
      </c>
      <c r="H27" s="64" t="s">
        <v>75</v>
      </c>
      <c r="I27" s="64" t="s">
        <v>75</v>
      </c>
      <c r="J27" s="67">
        <v>339638</v>
      </c>
      <c r="K27" s="72" t="s">
        <v>166</v>
      </c>
      <c r="L27" s="72" t="s">
        <v>166</v>
      </c>
      <c r="M27" s="74">
        <v>1781</v>
      </c>
    </row>
    <row r="28" spans="1:14" ht="30" customHeight="1">
      <c r="A28" s="156"/>
      <c r="B28" s="65" t="s">
        <v>144</v>
      </c>
      <c r="C28" s="161" t="s">
        <v>145</v>
      </c>
      <c r="D28" s="161"/>
      <c r="E28" s="161"/>
      <c r="F28" s="61" t="s">
        <v>146</v>
      </c>
      <c r="G28" s="58" t="s">
        <v>76</v>
      </c>
      <c r="H28" s="64" t="s">
        <v>75</v>
      </c>
      <c r="I28" s="64" t="s">
        <v>75</v>
      </c>
      <c r="J28" s="67">
        <v>512340</v>
      </c>
      <c r="K28" s="72" t="s">
        <v>166</v>
      </c>
      <c r="L28" s="72" t="s">
        <v>166</v>
      </c>
      <c r="M28" s="74">
        <v>4303</v>
      </c>
    </row>
    <row r="29" spans="1:14" ht="30" customHeight="1">
      <c r="A29" s="156"/>
      <c r="B29" s="115" t="s">
        <v>147</v>
      </c>
      <c r="C29" s="161" t="s">
        <v>150</v>
      </c>
      <c r="D29" s="161"/>
      <c r="E29" s="161"/>
      <c r="F29" s="59">
        <v>46034</v>
      </c>
      <c r="G29" s="58" t="s">
        <v>76</v>
      </c>
      <c r="H29" s="64" t="s">
        <v>75</v>
      </c>
      <c r="I29" s="64" t="s">
        <v>75</v>
      </c>
      <c r="J29" s="112">
        <v>8525</v>
      </c>
      <c r="K29" s="110" t="s">
        <v>166</v>
      </c>
      <c r="L29" s="110" t="s">
        <v>166</v>
      </c>
      <c r="M29" s="111">
        <v>189</v>
      </c>
    </row>
    <row r="30" spans="1:14" ht="30" customHeight="1">
      <c r="A30" s="156"/>
      <c r="B30" s="65" t="s">
        <v>151</v>
      </c>
      <c r="C30" s="161" t="s">
        <v>152</v>
      </c>
      <c r="D30" s="161"/>
      <c r="E30" s="161"/>
      <c r="F30" s="69">
        <v>46375</v>
      </c>
      <c r="G30" s="58" t="s">
        <v>76</v>
      </c>
      <c r="H30" s="64" t="s">
        <v>153</v>
      </c>
      <c r="I30" s="58" t="s">
        <v>154</v>
      </c>
      <c r="J30" s="70">
        <v>59840</v>
      </c>
      <c r="K30" s="72" t="s">
        <v>166</v>
      </c>
      <c r="L30" s="72" t="s">
        <v>166</v>
      </c>
      <c r="M30" s="73" t="s">
        <v>166</v>
      </c>
    </row>
    <row r="31" spans="1:14" ht="30" customHeight="1">
      <c r="A31" s="156" t="s">
        <v>167</v>
      </c>
      <c r="B31" s="65" t="s">
        <v>157</v>
      </c>
      <c r="C31" s="161" t="s">
        <v>158</v>
      </c>
      <c r="D31" s="161"/>
      <c r="E31" s="161"/>
      <c r="F31" s="69">
        <v>46136</v>
      </c>
      <c r="G31" s="58" t="s">
        <v>76</v>
      </c>
      <c r="H31" s="64" t="s">
        <v>75</v>
      </c>
      <c r="I31" s="58" t="s">
        <v>76</v>
      </c>
      <c r="J31" s="67">
        <v>423500</v>
      </c>
      <c r="K31" s="72" t="s">
        <v>166</v>
      </c>
      <c r="L31" s="72" t="s">
        <v>166</v>
      </c>
      <c r="M31" s="74">
        <v>2059</v>
      </c>
    </row>
    <row r="32" spans="1:14" ht="30" customHeight="1">
      <c r="A32" s="156"/>
      <c r="B32" s="65" t="s">
        <v>159</v>
      </c>
      <c r="C32" s="161" t="s">
        <v>160</v>
      </c>
      <c r="D32" s="161"/>
      <c r="E32" s="161"/>
      <c r="F32" s="69">
        <v>46166</v>
      </c>
      <c r="G32" s="58" t="s">
        <v>161</v>
      </c>
      <c r="H32" s="64" t="s">
        <v>75</v>
      </c>
      <c r="I32" s="58" t="s">
        <v>76</v>
      </c>
      <c r="J32" s="67">
        <v>1043070</v>
      </c>
      <c r="K32" s="72" t="s">
        <v>166</v>
      </c>
      <c r="L32" s="72" t="s">
        <v>166</v>
      </c>
      <c r="M32" s="74">
        <v>14438</v>
      </c>
    </row>
    <row r="33" spans="1:13" ht="30" customHeight="1">
      <c r="A33" s="156"/>
      <c r="B33" s="65" t="s">
        <v>164</v>
      </c>
      <c r="C33" s="161" t="s">
        <v>165</v>
      </c>
      <c r="D33" s="161"/>
      <c r="E33" s="161"/>
      <c r="F33" s="69">
        <v>46374</v>
      </c>
      <c r="G33" s="58" t="s">
        <v>76</v>
      </c>
      <c r="H33" s="64" t="s">
        <v>75</v>
      </c>
      <c r="I33" s="61" t="s">
        <v>76</v>
      </c>
      <c r="J33" s="67">
        <v>13640</v>
      </c>
      <c r="K33" s="72" t="s">
        <v>166</v>
      </c>
      <c r="L33" s="72" t="s">
        <v>166</v>
      </c>
      <c r="M33" s="73">
        <v>367</v>
      </c>
    </row>
    <row r="34" spans="1:13" s="13" customFormat="1" ht="30" customHeight="1">
      <c r="A34" s="186" t="s">
        <v>31</v>
      </c>
      <c r="B34" s="187"/>
      <c r="C34" s="187"/>
      <c r="D34" s="187"/>
      <c r="E34" s="187"/>
      <c r="F34" s="187"/>
      <c r="G34" s="187"/>
      <c r="H34" s="187"/>
      <c r="I34" s="187"/>
      <c r="J34" s="188">
        <f>SUM(J6,J8:J10,J13,J30)*0.2+SUM(J23)*0.3+SUM(J7,J11:J12,J14:J22,J24:J28,J31:J33,J29)*0.5</f>
        <v>7206706.7000000002</v>
      </c>
      <c r="K34" s="188"/>
      <c r="L34" s="188"/>
      <c r="M34" s="189"/>
    </row>
    <row r="35" spans="1:13" s="13" customFormat="1" ht="30" customHeight="1">
      <c r="A35" s="190" t="s">
        <v>40</v>
      </c>
      <c r="B35" s="191"/>
      <c r="C35" s="191"/>
      <c r="D35" s="191"/>
      <c r="E35" s="191"/>
      <c r="F35" s="191"/>
      <c r="G35" s="191"/>
      <c r="H35" s="191"/>
      <c r="I35" s="191"/>
      <c r="J35" s="192">
        <f>J34*0.0005</f>
        <v>3603.3533500000003</v>
      </c>
      <c r="K35" s="192"/>
      <c r="L35" s="192"/>
      <c r="M35" s="193"/>
    </row>
    <row r="36" spans="1:13" s="13" customFormat="1" ht="30" customHeight="1">
      <c r="A36" s="176" t="s">
        <v>41</v>
      </c>
      <c r="B36" s="177"/>
      <c r="C36" s="177"/>
      <c r="D36" s="177"/>
      <c r="E36" s="177"/>
      <c r="F36" s="177"/>
      <c r="G36" s="177"/>
      <c r="H36" s="177"/>
      <c r="I36" s="177"/>
      <c r="J36" s="14">
        <f>J35</f>
        <v>3603.3533500000003</v>
      </c>
      <c r="K36" s="14">
        <f>SUM(K6:K33)</f>
        <v>26518</v>
      </c>
      <c r="L36" s="14">
        <f>SUM(L6:L33)</f>
        <v>11247</v>
      </c>
      <c r="M36" s="37">
        <f>SUM(M6:M33)</f>
        <v>87649</v>
      </c>
    </row>
    <row r="37" spans="1:13" s="13" customFormat="1" ht="30" customHeight="1" thickBot="1">
      <c r="A37" s="215" t="s">
        <v>27</v>
      </c>
      <c r="B37" s="216"/>
      <c r="C37" s="216"/>
      <c r="D37" s="216"/>
      <c r="E37" s="216"/>
      <c r="F37" s="216"/>
      <c r="G37" s="216"/>
      <c r="H37" s="216"/>
      <c r="I37" s="216"/>
      <c r="J37" s="184">
        <f>SUM(J36:M36)</f>
        <v>129017.35335</v>
      </c>
      <c r="K37" s="184"/>
      <c r="L37" s="184"/>
      <c r="M37" s="185"/>
    </row>
    <row r="38" spans="1:13" s="13" customFormat="1" ht="30" customHeight="1">
      <c r="A38" s="217" t="s">
        <v>44</v>
      </c>
      <c r="B38" s="218"/>
      <c r="C38" s="218"/>
      <c r="D38" s="218"/>
      <c r="E38" s="218"/>
      <c r="F38" s="218"/>
      <c r="G38" s="218"/>
      <c r="H38" s="218"/>
      <c r="I38" s="218"/>
      <c r="J38" s="218"/>
      <c r="K38" s="218"/>
      <c r="L38" s="218"/>
      <c r="M38" s="218"/>
    </row>
    <row r="39" spans="1:13" s="13" customFormat="1" ht="30" customHeight="1">
      <c r="A39" s="217" t="s">
        <v>39</v>
      </c>
      <c r="B39" s="218"/>
      <c r="C39" s="218"/>
      <c r="D39" s="218"/>
      <c r="E39" s="218"/>
      <c r="F39" s="218"/>
      <c r="G39" s="218"/>
      <c r="H39" s="218"/>
      <c r="I39" s="218"/>
      <c r="J39" s="218"/>
      <c r="K39" s="218"/>
      <c r="L39" s="218"/>
      <c r="M39" s="218"/>
    </row>
    <row r="40" spans="1:13" s="13" customFormat="1" ht="30" customHeight="1">
      <c r="A40" s="212" t="s">
        <v>45</v>
      </c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</row>
    <row r="41" spans="1:13" ht="30" customHeight="1">
      <c r="A41" s="214" t="s">
        <v>33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</row>
    <row r="42" spans="1:13" ht="30" customHeight="1">
      <c r="A42" s="44" t="s">
        <v>47</v>
      </c>
      <c r="B42" s="44"/>
      <c r="C42" s="44"/>
      <c r="D42" s="44"/>
      <c r="E42" s="44"/>
      <c r="F42" s="44"/>
      <c r="G42" s="44"/>
      <c r="H42" s="42"/>
      <c r="I42" s="40"/>
      <c r="J42" s="40"/>
      <c r="K42" s="40"/>
      <c r="L42" s="40"/>
      <c r="M42" s="40"/>
    </row>
    <row r="43" spans="1:13" ht="30" customHeight="1">
      <c r="A43" s="45" t="s">
        <v>48</v>
      </c>
      <c r="B43" s="45"/>
      <c r="C43" s="45"/>
      <c r="D43" s="45"/>
      <c r="E43" s="45"/>
      <c r="F43" s="45"/>
      <c r="G43" s="45"/>
      <c r="H43" s="43"/>
    </row>
    <row r="44" spans="1:13" ht="30" customHeight="1">
      <c r="A44" s="45" t="s">
        <v>49</v>
      </c>
      <c r="B44" s="45"/>
      <c r="C44" s="45"/>
      <c r="D44" s="45"/>
      <c r="E44" s="45"/>
      <c r="F44" s="45"/>
      <c r="G44" s="45"/>
      <c r="H44" s="43"/>
    </row>
    <row r="45" spans="1:13" ht="30" customHeight="1" thickBot="1">
      <c r="A45" s="45"/>
      <c r="B45" s="45"/>
      <c r="C45" s="45"/>
      <c r="D45" s="45"/>
      <c r="E45" s="45"/>
      <c r="F45" s="45"/>
      <c r="G45" s="45"/>
      <c r="H45" s="43"/>
      <c r="J45" s="4" t="s">
        <v>10</v>
      </c>
      <c r="K45" s="5"/>
      <c r="L45" s="5"/>
      <c r="M45" s="5"/>
    </row>
    <row r="46" spans="1:13" ht="30" customHeight="1">
      <c r="J46" s="4"/>
      <c r="K46" s="41"/>
      <c r="L46" s="41"/>
      <c r="M46" s="41"/>
    </row>
    <row r="47" spans="1:13" ht="30" customHeight="1"/>
    <row r="48" spans="1:13" ht="30" customHeight="1"/>
    <row r="49" ht="30" customHeight="1"/>
  </sheetData>
  <mergeCells count="55">
    <mergeCell ref="C31:E31"/>
    <mergeCell ref="C32:E32"/>
    <mergeCell ref="C33:E33"/>
    <mergeCell ref="A22:A24"/>
    <mergeCell ref="B14:B21"/>
    <mergeCell ref="C29:E29"/>
    <mergeCell ref="C30:E30"/>
    <mergeCell ref="A25:A30"/>
    <mergeCell ref="A31:A33"/>
    <mergeCell ref="C22:E22"/>
    <mergeCell ref="C23:E23"/>
    <mergeCell ref="C24:E24"/>
    <mergeCell ref="C25:E25"/>
    <mergeCell ref="C26:E26"/>
    <mergeCell ref="C27:E27"/>
    <mergeCell ref="C28:E28"/>
    <mergeCell ref="K14:K17"/>
    <mergeCell ref="L14:L17"/>
    <mergeCell ref="M14:M17"/>
    <mergeCell ref="H19:H21"/>
    <mergeCell ref="I19:I21"/>
    <mergeCell ref="F14:F17"/>
    <mergeCell ref="J14:J17"/>
    <mergeCell ref="F19:F21"/>
    <mergeCell ref="C15:E15"/>
    <mergeCell ref="C17:E17"/>
    <mergeCell ref="C21:E21"/>
    <mergeCell ref="C20:E20"/>
    <mergeCell ref="C19:E19"/>
    <mergeCell ref="A6:A21"/>
    <mergeCell ref="G19:G21"/>
    <mergeCell ref="A4:M4"/>
    <mergeCell ref="C5:E5"/>
    <mergeCell ref="A39:M39"/>
    <mergeCell ref="C13:E13"/>
    <mergeCell ref="C6:E6"/>
    <mergeCell ref="C7:E7"/>
    <mergeCell ref="C8:E8"/>
    <mergeCell ref="C9:E9"/>
    <mergeCell ref="C10:E10"/>
    <mergeCell ref="C11:E11"/>
    <mergeCell ref="C12:E12"/>
    <mergeCell ref="C18:E18"/>
    <mergeCell ref="C14:E14"/>
    <mergeCell ref="C16:E16"/>
    <mergeCell ref="A40:M40"/>
    <mergeCell ref="A41:M41"/>
    <mergeCell ref="A36:I36"/>
    <mergeCell ref="J34:M34"/>
    <mergeCell ref="A34:I34"/>
    <mergeCell ref="A35:I35"/>
    <mergeCell ref="A37:I37"/>
    <mergeCell ref="J35:M35"/>
    <mergeCell ref="J37:M37"/>
    <mergeCell ref="A38:M38"/>
  </mergeCells>
  <phoneticPr fontId="2" type="noConversion"/>
  <printOptions horizontalCentered="1"/>
  <pageMargins left="0.23622047244094491" right="0.23622047244094491" top="0.11811023622047245" bottom="0.11811023622047245" header="0" footer="0"/>
  <pageSetup paperSize="9" scale="4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總表</vt:lpstr>
      <vt:lpstr>Annie</vt:lpstr>
      <vt:lpstr>Susan</vt:lpstr>
      <vt:lpstr>Jacky</vt:lpstr>
      <vt:lpstr>Teren</vt:lpstr>
      <vt:lpstr>Jasmine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2026-02-13T11:04:47Z</cp:lastPrinted>
  <dcterms:created xsi:type="dcterms:W3CDTF">2020-01-20T11:14:28Z</dcterms:created>
  <dcterms:modified xsi:type="dcterms:W3CDTF">2026-02-13T12:24:57Z</dcterms:modified>
</cp:coreProperties>
</file>