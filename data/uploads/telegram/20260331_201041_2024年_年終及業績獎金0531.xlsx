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03 財務會計\04 人資相關\02 員工相關\01 員工薪資\02 Lina\2024年度\"/>
    </mc:Choice>
  </mc:AlternateContent>
  <bookViews>
    <workbookView xWindow="-105" yWindow="-105" windowWidth="23265" windowHeight="14040" tabRatio="839" activeTab="6"/>
  </bookViews>
  <sheets>
    <sheet name="總表" sheetId="1" r:id="rId1"/>
    <sheet name="Susan" sheetId="10" r:id="rId2"/>
    <sheet name="Jacky" sheetId="11" r:id="rId3"/>
    <sheet name="Teren" sheetId="13" r:id="rId4"/>
    <sheet name="Annie" sheetId="15" r:id="rId5"/>
    <sheet name="Jasmine" sheetId="8" r:id="rId6"/>
    <sheet name="Vivian" sheetId="14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38" i="8" l="1"/>
  <c r="J29" i="8"/>
  <c r="J39" i="8"/>
  <c r="J40" i="8" s="1"/>
  <c r="M31" i="8"/>
  <c r="J4" i="1" l="1"/>
  <c r="J6" i="1"/>
  <c r="J11" i="1"/>
  <c r="J52" i="15"/>
  <c r="I52" i="15"/>
  <c r="L38" i="15"/>
  <c r="L45" i="15"/>
  <c r="I59" i="15" s="1"/>
  <c r="H18" i="14"/>
  <c r="J12" i="1" l="1"/>
  <c r="N30" i="8" l="1"/>
  <c r="J31" i="8" s="1"/>
  <c r="L31" i="8" l="1"/>
  <c r="K31" i="8"/>
  <c r="J10" i="1" l="1"/>
  <c r="I53" i="15"/>
  <c r="I2" i="15"/>
  <c r="H9" i="10" l="1"/>
  <c r="H13" i="14" l="1"/>
  <c r="I2" i="14"/>
  <c r="H8" i="10"/>
  <c r="H12" i="11"/>
  <c r="H9" i="11"/>
  <c r="H11" i="11" l="1"/>
  <c r="E2" i="13"/>
  <c r="H10" i="13" l="1"/>
  <c r="I2" i="13" l="1"/>
  <c r="L12" i="13"/>
  <c r="K12" i="13"/>
  <c r="J12" i="13"/>
  <c r="I12" i="13"/>
  <c r="H12" i="13"/>
  <c r="L14" i="11"/>
  <c r="K14" i="11"/>
  <c r="J14" i="11"/>
  <c r="I14" i="11"/>
  <c r="H14" i="11"/>
  <c r="E2" i="11"/>
  <c r="I2" i="11" s="1"/>
  <c r="J5" i="1"/>
  <c r="J7" i="1"/>
  <c r="J8" i="1"/>
  <c r="H15" i="11" l="1"/>
  <c r="H13" i="13"/>
  <c r="I11" i="10" l="1"/>
  <c r="J11" i="10"/>
  <c r="K11" i="10"/>
  <c r="L11" i="10"/>
  <c r="H11" i="10"/>
  <c r="H12" i="10" l="1"/>
  <c r="J30" i="8" l="1"/>
  <c r="J9" i="1" l="1"/>
  <c r="E2" i="10"/>
  <c r="I2" i="10" s="1"/>
  <c r="J32" i="8" l="1"/>
  <c r="F2" i="8" s="1"/>
  <c r="I2" i="8" s="1"/>
  <c r="J2" i="1" l="1"/>
  <c r="J3" i="1" l="1"/>
</calcChain>
</file>

<file path=xl/comments1.xml><?xml version="1.0" encoding="utf-8"?>
<comments xmlns="http://schemas.openxmlformats.org/spreadsheetml/2006/main">
  <authors>
    <author>user</author>
  </authors>
  <commentList>
    <comment ref="C3" authorId="0" shapeId="0">
      <text>
        <r>
          <rPr>
            <sz val="8"/>
            <color indexed="81"/>
            <rFont val="微軟正黑體"/>
            <family val="2"/>
            <charset val="136"/>
          </rPr>
          <t>調薪：108/08/01 $35000
調薪：108/10/01 $38000                    　    調薪：113/05/01 $40000</t>
        </r>
      </text>
    </comment>
    <comment ref="C5" authorId="0" shapeId="0">
      <text>
        <r>
          <rPr>
            <sz val="8"/>
            <color indexed="81"/>
            <rFont val="微軟正黑體"/>
            <family val="2"/>
            <charset val="136"/>
          </rPr>
          <t>調薪：111/02/01 $36000
調薪：112/02/01 $37000
調薪：112/07/01 $39000
調薪：113/05/01 $41000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2" authorId="0" shapeId="0">
      <text>
        <r>
          <rPr>
            <sz val="8"/>
            <color indexed="81"/>
            <rFont val="微軟正黑體"/>
            <family val="2"/>
            <charset val="136"/>
          </rPr>
          <t>調薪：108/08/01 $35000
調薪：108/10/01 $38000                    　    調薪：113/05/01 $40000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B2" authorId="0" shapeId="0">
      <text>
        <r>
          <rPr>
            <sz val="8"/>
            <color indexed="81"/>
            <rFont val="微軟正黑體"/>
            <family val="2"/>
            <charset val="136"/>
          </rPr>
          <t>調薪：111/02/01 $36000
調薪：112/02/01 $37000
調薪：112/07/01 $39000
調薪：113/05/01 $41000</t>
        </r>
      </text>
    </comment>
  </commentList>
</comments>
</file>

<file path=xl/sharedStrings.xml><?xml version="1.0" encoding="utf-8"?>
<sst xmlns="http://schemas.openxmlformats.org/spreadsheetml/2006/main" count="734" uniqueCount="275">
  <si>
    <t>Annie</t>
  </si>
  <si>
    <t>黃筱庭</t>
    <phoneticPr fontId="2" type="noConversion"/>
  </si>
  <si>
    <t>Jasmine</t>
    <phoneticPr fontId="2" type="noConversion"/>
  </si>
  <si>
    <t>姓名</t>
  </si>
  <si>
    <t>到職日</t>
    <phoneticPr fontId="2" type="noConversion"/>
  </si>
  <si>
    <t>小計</t>
    <phoneticPr fontId="2" type="noConversion"/>
  </si>
  <si>
    <t>周義惠</t>
    <phoneticPr fontId="2" type="noConversion"/>
  </si>
  <si>
    <t>到職天數</t>
    <phoneticPr fontId="2" type="noConversion"/>
  </si>
  <si>
    <t>月薪</t>
    <phoneticPr fontId="2" type="noConversion"/>
  </si>
  <si>
    <t>業績獎金</t>
    <phoneticPr fontId="2" type="noConversion"/>
  </si>
  <si>
    <t>專案簽名</t>
    <phoneticPr fontId="2" type="noConversion"/>
  </si>
  <si>
    <t>羅臻</t>
    <phoneticPr fontId="2" type="noConversion"/>
  </si>
  <si>
    <t>Lina</t>
    <phoneticPr fontId="2" type="noConversion"/>
  </si>
  <si>
    <t>執行長</t>
    <phoneticPr fontId="2" type="noConversion"/>
  </si>
  <si>
    <t>N/A</t>
    <phoneticPr fontId="2" type="noConversion"/>
  </si>
  <si>
    <t>專案</t>
  </si>
  <si>
    <t>案號</t>
  </si>
  <si>
    <t>專案名稱</t>
  </si>
  <si>
    <t>活動日期</t>
  </si>
  <si>
    <t>協助專案</t>
  </si>
  <si>
    <t>專案未稅金額</t>
  </si>
  <si>
    <t>獎金5%</t>
  </si>
  <si>
    <t>保底獎金</t>
    <phoneticPr fontId="2" type="noConversion"/>
  </si>
  <si>
    <t>特殊獎金</t>
    <phoneticPr fontId="2" type="noConversion"/>
  </si>
  <si>
    <t>支援獎金</t>
    <phoneticPr fontId="2" type="noConversion"/>
  </si>
  <si>
    <t>總計</t>
    <phoneticPr fontId="2" type="noConversion"/>
  </si>
  <si>
    <t>姓名</t>
    <phoneticPr fontId="2" type="noConversion"/>
  </si>
  <si>
    <t>獎金總計</t>
  </si>
  <si>
    <t>專案獎金</t>
    <phoneticPr fontId="2" type="noConversion"/>
  </si>
  <si>
    <t>到職日</t>
    <phoneticPr fontId="2" type="noConversion"/>
  </si>
  <si>
    <t>-</t>
    <phoneticPr fontId="2" type="noConversion"/>
  </si>
  <si>
    <t>※到職未滿一年，故月薪/365*到職天數</t>
    <phoneticPr fontId="2" type="noConversion"/>
  </si>
  <si>
    <t>-</t>
    <phoneticPr fontId="2" type="noConversion"/>
  </si>
  <si>
    <t>※計算方式專案 100%業績+支援業績50%百萬以下無條件捨棄</t>
    <phoneticPr fontId="2" type="noConversion"/>
  </si>
  <si>
    <t>※業績達標800萬起以比例提撥獎金 ，總業績金額無條件捨去百萬以下乘以0.0005計算</t>
    <phoneticPr fontId="2" type="noConversion"/>
  </si>
  <si>
    <t>※業績達標800萬起以比例提撥獎金 ，總業績金額無條件捨去百萬以下乘以0.001計算</t>
    <phoneticPr fontId="2" type="noConversion"/>
  </si>
  <si>
    <t>執行設計</t>
  </si>
  <si>
    <t>設計支援</t>
  </si>
  <si>
    <t>獎金2%</t>
  </si>
  <si>
    <t>獎金3%</t>
  </si>
  <si>
    <t>3% 主視覺設計+延伸設計+美工發包，專案包含其他活動但無設計製作物(晚宴、媒體、代收轉付高的費用)，或專案內有其他外發設計工作量一人一半</t>
  </si>
  <si>
    <t xml:space="preserve">業績達標獎金 </t>
    <phoneticPr fontId="2" type="noConversion"/>
  </si>
  <si>
    <t>Jasmine獎金</t>
    <phoneticPr fontId="2" type="noConversion"/>
  </si>
  <si>
    <t>獎金10%</t>
  </si>
  <si>
    <t xml:space="preserve">年度總業績量 </t>
    <phoneticPr fontId="2" type="noConversion"/>
  </si>
  <si>
    <t>年度業績獎金</t>
    <phoneticPr fontId="2" type="noConversion"/>
  </si>
  <si>
    <t>2% 從外發拉案子回來設計，製作物數量很少，或專案內有其他外發設計</t>
    <phoneticPr fontId="2" type="noConversion"/>
  </si>
  <si>
    <t>5% 主視覺設計+延伸設計+美工發包+硬體發包，或純設計案</t>
    <phoneticPr fontId="2" type="noConversion"/>
  </si>
  <si>
    <t>其他獎金｜扣除</t>
    <phoneticPr fontId="2" type="noConversion"/>
  </si>
  <si>
    <t>扣除  0%的業績量， 設計主導的案子為主，通常是領5%獎金的案子</t>
    <phoneticPr fontId="2" type="noConversion"/>
  </si>
  <si>
    <t>扣除50%的業績量，外發設計的加入分擔的量 或 代收轉付案子多，通常是領3%獎金的案子</t>
    <phoneticPr fontId="2" type="noConversion"/>
  </si>
  <si>
    <t>扣除70%的業績量，外發設計的加入分擔的量 或 代收轉付案子多,通常是領2%獎金的案子</t>
    <phoneticPr fontId="2" type="noConversion"/>
  </si>
  <si>
    <t>-</t>
    <phoneticPr fontId="2" type="noConversion"/>
  </si>
  <si>
    <t>楊韋襦</t>
    <phoneticPr fontId="2" type="noConversion"/>
  </si>
  <si>
    <t>黃傑穎</t>
    <phoneticPr fontId="2" type="noConversion"/>
  </si>
  <si>
    <t>張任</t>
    <phoneticPr fontId="2" type="noConversion"/>
  </si>
  <si>
    <t>Susan</t>
    <phoneticPr fontId="2" type="noConversion"/>
  </si>
  <si>
    <t>Jacky</t>
    <phoneticPr fontId="2" type="noConversion"/>
  </si>
  <si>
    <t>Teren</t>
    <phoneticPr fontId="2" type="noConversion"/>
  </si>
  <si>
    <t>36000</t>
    <phoneticPr fontId="2" type="noConversion"/>
  </si>
  <si>
    <t>34000</t>
    <phoneticPr fontId="2" type="noConversion"/>
  </si>
  <si>
    <t>43000</t>
    <phoneticPr fontId="2" type="noConversion"/>
  </si>
  <si>
    <t>2024專案獎金分配表</t>
    <phoneticPr fontId="2" type="noConversion"/>
  </si>
  <si>
    <t>2024專案獎金分配表</t>
    <phoneticPr fontId="2" type="noConversion"/>
  </si>
  <si>
    <t>Susan總業績量</t>
    <phoneticPr fontId="2" type="noConversion"/>
  </si>
  <si>
    <t>Jacky總業績量</t>
    <phoneticPr fontId="2" type="noConversion"/>
  </si>
  <si>
    <t>Teren總業績量</t>
    <phoneticPr fontId="2" type="noConversion"/>
  </si>
  <si>
    <t>Teren獎金</t>
    <phoneticPr fontId="2" type="noConversion"/>
  </si>
  <si>
    <t>Jacky獎金</t>
    <phoneticPr fontId="2" type="noConversion"/>
  </si>
  <si>
    <t>Susan獎金</t>
    <phoneticPr fontId="2" type="noConversion"/>
  </si>
  <si>
    <t>Giselle(GP)</t>
    <phoneticPr fontId="2" type="noConversion"/>
  </si>
  <si>
    <t xml:space="preserve">年度總業績量 </t>
    <phoneticPr fontId="2" type="noConversion"/>
  </si>
  <si>
    <t>LL240101</t>
  </si>
  <si>
    <t>LL240103</t>
  </si>
  <si>
    <t>LL240105</t>
  </si>
  <si>
    <t>LL240201</t>
  </si>
  <si>
    <t>LL240202</t>
  </si>
  <si>
    <t>LL240203</t>
  </si>
  <si>
    <t>LL240901</t>
  </si>
  <si>
    <t>LL240902</t>
  </si>
  <si>
    <t>LL241001</t>
  </si>
  <si>
    <t>2024 Coolermaster 尾牙規劃</t>
  </si>
  <si>
    <t>2024 Gogoro 台中環保局手舉牌製作</t>
  </si>
  <si>
    <t>2024 裕隆建設尾牙規劃</t>
  </si>
  <si>
    <t>TTA x CES 2024 國際鏈結活動及品牌行銷規劃與執行</t>
  </si>
  <si>
    <t>2024 台元紡織尾牙規劃</t>
  </si>
  <si>
    <t>2024 裕隆經管尾牙規劃</t>
  </si>
  <si>
    <t>StartSphere Taipei</t>
  </si>
  <si>
    <t>2024 Luxlife 北投鐵粉日</t>
  </si>
  <si>
    <t>2024 TAcc SpaceTech 歡迎會及論壇</t>
  </si>
  <si>
    <t>2024 Viva Tech</t>
  </si>
  <si>
    <t>2024 InnoVEX</t>
  </si>
  <si>
    <t>2024 TTA XYZ 座談會(與InnoVEX合併)</t>
  </si>
  <si>
    <t>2024 TTA Semicon IC Taiwan 說明會</t>
  </si>
  <si>
    <t>IFA 德國展</t>
  </si>
  <si>
    <t>2024 TTA Talk</t>
  </si>
  <si>
    <t>2024 TTA GITEX國際展會 徵案說明會</t>
  </si>
  <si>
    <t>2024 Cross-Border Startup Pitch Event</t>
  </si>
  <si>
    <t>2024 TTA x Mosaic CES 2025 Bootcamp</t>
  </si>
  <si>
    <t>GP240302</t>
  </si>
  <si>
    <t>2024 TAcc+SpaceTech 線上徵案說明會</t>
  </si>
  <si>
    <t>GP240303</t>
  </si>
  <si>
    <t>2024 創業家任意通記者會</t>
  </si>
  <si>
    <t>GP240401</t>
  </si>
  <si>
    <t>2024 TTA Talk x NTHU</t>
  </si>
  <si>
    <t>VL241201</t>
  </si>
  <si>
    <t>2024 TTA 場域文創禮品</t>
  </si>
  <si>
    <t>SY241001</t>
  </si>
  <si>
    <t>2024 AI+ Taipei Startup Demo Day</t>
  </si>
  <si>
    <t>JH241201</t>
  </si>
  <si>
    <t>2024 TTA 聖誕小聚 Christmas Gatherings</t>
  </si>
  <si>
    <t>Vivian(VL)</t>
  </si>
  <si>
    <t>Susan(SY)</t>
  </si>
  <si>
    <t>Jacky(JH)</t>
  </si>
  <si>
    <t>Kelly+外發</t>
  </si>
  <si>
    <t>Jasmine</t>
  </si>
  <si>
    <t>N/A</t>
  </si>
  <si>
    <t>1月份</t>
  </si>
  <si>
    <t>Giselle</t>
  </si>
  <si>
    <t>Mindy</t>
  </si>
  <si>
    <t>發包:Jasmine</t>
  </si>
  <si>
    <t>12/04-02/29</t>
  </si>
  <si>
    <t>Giselle/Kelly</t>
  </si>
  <si>
    <t>09/04-09/06</t>
  </si>
  <si>
    <t>Jay/Vivian</t>
  </si>
  <si>
    <t>09/05-09/06</t>
  </si>
  <si>
    <t>Vivian</t>
  </si>
  <si>
    <t>09/30-10/01</t>
  </si>
  <si>
    <t>Rebecca</t>
  </si>
  <si>
    <t>05/22-05/25</t>
  </si>
  <si>
    <t>Jasime</t>
  </si>
  <si>
    <t>06/04-06/07</t>
  </si>
  <si>
    <t>Lina</t>
  </si>
  <si>
    <t>Jacky</t>
  </si>
  <si>
    <t>11/26&amp;27</t>
  </si>
  <si>
    <t>Kelly</t>
  </si>
  <si>
    <t>Mindy(直播素材/宣傳圖)</t>
  </si>
  <si>
    <t>Vivian/Lina</t>
  </si>
  <si>
    <t>Mindy
(會議室內牆初步設計/會議室外牆/活動議程牌)</t>
  </si>
  <si>
    <t>-</t>
  </si>
  <si>
    <t>Mindy(直播素材/上文案)</t>
    <phoneticPr fontId="2" type="noConversion"/>
  </si>
  <si>
    <t>-</t>
    <phoneticPr fontId="2" type="noConversion"/>
  </si>
  <si>
    <t>-</t>
    <phoneticPr fontId="2" type="noConversion"/>
  </si>
  <si>
    <t>2025 CES 徵案/展前記者會+展會活動</t>
  </si>
  <si>
    <t>2025/01/07-10</t>
  </si>
  <si>
    <t>Jay/Teren</t>
  </si>
  <si>
    <t>-</t>
    <phoneticPr fontId="2" type="noConversion"/>
  </si>
  <si>
    <t>Lina (LL)</t>
    <phoneticPr fontId="2" type="noConversion"/>
  </si>
  <si>
    <t>LL241202</t>
    <phoneticPr fontId="2" type="noConversion"/>
  </si>
  <si>
    <t>JH241201</t>
    <phoneticPr fontId="2" type="noConversion"/>
  </si>
  <si>
    <t>Jacky(JH)</t>
    <phoneticPr fontId="2" type="noConversion"/>
  </si>
  <si>
    <t>Lina (LL)</t>
    <phoneticPr fontId="2" type="noConversion"/>
  </si>
  <si>
    <t>Lina (LL)</t>
    <phoneticPr fontId="2" type="noConversion"/>
  </si>
  <si>
    <t>協助總業績量</t>
    <phoneticPr fontId="2" type="noConversion"/>
  </si>
  <si>
    <t>Susan(SY)</t>
    <phoneticPr fontId="2" type="noConversion"/>
  </si>
  <si>
    <t>SY241001</t>
    <phoneticPr fontId="2" type="noConversion"/>
  </si>
  <si>
    <t>Susan(SY)</t>
    <phoneticPr fontId="2" type="noConversion"/>
  </si>
  <si>
    <t>SY241001</t>
    <phoneticPr fontId="2" type="noConversion"/>
  </si>
  <si>
    <t>2024 TACC 線上審查會</t>
  </si>
  <si>
    <t>flyingVest國際論壇新聞稿上架</t>
  </si>
  <si>
    <t>06/12-06/19</t>
  </si>
  <si>
    <t>09/04-09/06</t>
    <phoneticPr fontId="2" type="noConversion"/>
  </si>
  <si>
    <t>09/05-09/06</t>
    <phoneticPr fontId="2" type="noConversion"/>
  </si>
  <si>
    <t>Vivian</t>
    <phoneticPr fontId="2" type="noConversion"/>
  </si>
  <si>
    <t>Jay/Vivian</t>
    <phoneticPr fontId="2" type="noConversion"/>
  </si>
  <si>
    <t>LL240901</t>
    <phoneticPr fontId="2" type="noConversion"/>
  </si>
  <si>
    <t>LL240902</t>
    <phoneticPr fontId="2" type="noConversion"/>
  </si>
  <si>
    <t>Vivian(VL)</t>
    <phoneticPr fontId="2" type="noConversion"/>
  </si>
  <si>
    <t>VL241201</t>
    <phoneticPr fontId="2" type="noConversion"/>
  </si>
  <si>
    <t>LL240602</t>
    <phoneticPr fontId="2" type="noConversion"/>
  </si>
  <si>
    <t>-</t>
    <phoneticPr fontId="2" type="noConversion"/>
  </si>
  <si>
    <t>-</t>
    <phoneticPr fontId="2" type="noConversion"/>
  </si>
  <si>
    <t>LL241202</t>
    <phoneticPr fontId="2" type="noConversion"/>
  </si>
  <si>
    <t>-</t>
    <phoneticPr fontId="2" type="noConversion"/>
  </si>
  <si>
    <t>劉蔚萱</t>
    <phoneticPr fontId="2" type="noConversion"/>
  </si>
  <si>
    <t>-</t>
    <phoneticPr fontId="2" type="noConversion"/>
  </si>
  <si>
    <t>-</t>
    <phoneticPr fontId="2" type="noConversion"/>
  </si>
  <si>
    <t>2024 1月技術處邱司長全英文訪談拍攝</t>
  </si>
  <si>
    <t>2024 嘉裕尾牙規劃</t>
  </si>
  <si>
    <t>2024 Gogoro Retail Marketing 長期工讀生(01月)</t>
  </si>
  <si>
    <t>2024 Gogoro Retail Marketing 長期工讀生(02月)</t>
  </si>
  <si>
    <t>02/29</t>
  </si>
  <si>
    <t>2024 裕隆開工祭典儀式_表團協尋</t>
  </si>
  <si>
    <t>2024 Gogoro Retail Marketing 長期工讀生(03月)</t>
  </si>
  <si>
    <t>2024 Gogoro Retail Marketing 長期工讀生(04月)</t>
  </si>
  <si>
    <t>2024 Gogoro Retail Marketing 長期工讀生(05月)</t>
  </si>
  <si>
    <t>2024 馬來西亞參與新創投資高峰會 新聞露出</t>
  </si>
  <si>
    <t>One</t>
  </si>
  <si>
    <t>2024 裕隆納智捷籃球慶功宴</t>
  </si>
  <si>
    <t>Kelly+One</t>
  </si>
  <si>
    <t>2024 吳誠文主委來訪TTA</t>
  </si>
  <si>
    <t>其他雜項</t>
  </si>
  <si>
    <t>2024 裕隆城春節活動_人力支援</t>
  </si>
  <si>
    <t>02/12-02/14</t>
  </si>
  <si>
    <t>2024 日商開幕_人力支援</t>
  </si>
  <si>
    <t>華磐國際 尾牙舞台搭設</t>
  </si>
  <si>
    <t>01/01-12/31</t>
  </si>
  <si>
    <t>KC240201</t>
    <phoneticPr fontId="2" type="noConversion"/>
  </si>
  <si>
    <t>CY240201</t>
    <phoneticPr fontId="2" type="noConversion"/>
  </si>
  <si>
    <t>AC241202</t>
    <phoneticPr fontId="2" type="noConversion"/>
  </si>
  <si>
    <t>AC241211</t>
    <phoneticPr fontId="2" type="noConversion"/>
  </si>
  <si>
    <t>LL240104</t>
    <phoneticPr fontId="2" type="noConversion"/>
  </si>
  <si>
    <t>LL240105</t>
    <phoneticPr fontId="2" type="noConversion"/>
  </si>
  <si>
    <t>LL240202</t>
    <phoneticPr fontId="2" type="noConversion"/>
  </si>
  <si>
    <t>LL240203</t>
    <phoneticPr fontId="2" type="noConversion"/>
  </si>
  <si>
    <t>LL240503</t>
    <phoneticPr fontId="2" type="noConversion"/>
  </si>
  <si>
    <t>獎金1%</t>
    <phoneticPr fontId="2" type="noConversion"/>
  </si>
  <si>
    <t>04/17-114/01/31</t>
    <phoneticPr fontId="2" type="noConversion"/>
  </si>
  <si>
    <t>-</t>
    <phoneticPr fontId="2" type="noConversion"/>
  </si>
  <si>
    <t>以下為未來獎金分配參考計算圖</t>
    <phoneticPr fontId="2" type="noConversion"/>
  </si>
  <si>
    <t>到職日</t>
    <phoneticPr fontId="2" type="noConversion"/>
  </si>
  <si>
    <t>保底獎金</t>
    <phoneticPr fontId="2" type="noConversion"/>
  </si>
  <si>
    <t>特殊獎金</t>
    <phoneticPr fontId="2" type="noConversion"/>
  </si>
  <si>
    <t>支援獎金</t>
    <phoneticPr fontId="2" type="noConversion"/>
  </si>
  <si>
    <t>小計</t>
    <phoneticPr fontId="2" type="noConversion"/>
  </si>
  <si>
    <t>周義惠</t>
    <phoneticPr fontId="2" type="noConversion"/>
  </si>
  <si>
    <t>其他獎金</t>
    <phoneticPr fontId="2" type="noConversion"/>
  </si>
  <si>
    <t>LL240101</t>
    <phoneticPr fontId="2" type="noConversion"/>
  </si>
  <si>
    <t>-</t>
    <phoneticPr fontId="2" type="noConversion"/>
  </si>
  <si>
    <t>LL240102</t>
    <phoneticPr fontId="2" type="noConversion"/>
  </si>
  <si>
    <t>LL240103</t>
    <phoneticPr fontId="2" type="noConversion"/>
  </si>
  <si>
    <t>LL240106</t>
    <phoneticPr fontId="2" type="noConversion"/>
  </si>
  <si>
    <t>LL240201</t>
    <phoneticPr fontId="2" type="noConversion"/>
  </si>
  <si>
    <t>TTA x CES 2024 國際鏈結活動及品牌行銷規劃與執行</t>
    <phoneticPr fontId="2" type="noConversion"/>
  </si>
  <si>
    <t>LL240204</t>
    <phoneticPr fontId="2" type="noConversion"/>
  </si>
  <si>
    <t>LL240205</t>
    <phoneticPr fontId="2" type="noConversion"/>
  </si>
  <si>
    <t>LL240301</t>
    <phoneticPr fontId="2" type="noConversion"/>
  </si>
  <si>
    <t>LL240401</t>
    <phoneticPr fontId="2" type="noConversion"/>
  </si>
  <si>
    <t>LL240501</t>
    <phoneticPr fontId="2" type="noConversion"/>
  </si>
  <si>
    <t>LL240502</t>
    <phoneticPr fontId="2" type="noConversion"/>
  </si>
  <si>
    <t>LL240602</t>
    <phoneticPr fontId="2" type="noConversion"/>
  </si>
  <si>
    <t>LL240701</t>
    <phoneticPr fontId="2" type="noConversion"/>
  </si>
  <si>
    <t>LL240902</t>
    <phoneticPr fontId="2" type="noConversion"/>
  </si>
  <si>
    <t>LL241001</t>
    <phoneticPr fontId="2" type="noConversion"/>
  </si>
  <si>
    <t>LL241102</t>
    <phoneticPr fontId="2" type="noConversion"/>
  </si>
  <si>
    <t>TTA 2024年度新創國內外行銷活動規劃與執行</t>
    <phoneticPr fontId="2" type="noConversion"/>
  </si>
  <si>
    <t>Annie/Giselle/Rebecca/Susan/Teren/Jacky/外發</t>
    <phoneticPr fontId="2" type="noConversion"/>
  </si>
  <si>
    <t>GP240201</t>
    <phoneticPr fontId="2" type="noConversion"/>
  </si>
  <si>
    <t>GP240302</t>
    <phoneticPr fontId="2" type="noConversion"/>
  </si>
  <si>
    <t>GP240303</t>
    <phoneticPr fontId="2" type="noConversion"/>
  </si>
  <si>
    <t>GP240401</t>
    <phoneticPr fontId="2" type="noConversion"/>
  </si>
  <si>
    <t>Kelly(KC)</t>
    <phoneticPr fontId="2" type="noConversion"/>
  </si>
  <si>
    <t>Vivian(VL)</t>
    <phoneticPr fontId="2" type="noConversion"/>
  </si>
  <si>
    <t>Susan(SY)</t>
    <phoneticPr fontId="2" type="noConversion"/>
  </si>
  <si>
    <t>SY241001</t>
    <phoneticPr fontId="2" type="noConversion"/>
  </si>
  <si>
    <t>Jacky(JH)</t>
    <phoneticPr fontId="2" type="noConversion"/>
  </si>
  <si>
    <t>JH241201</t>
    <phoneticPr fontId="2" type="noConversion"/>
  </si>
  <si>
    <t>Charles(CY)</t>
    <phoneticPr fontId="2" type="noConversion"/>
  </si>
  <si>
    <t>Annie(AC)</t>
    <phoneticPr fontId="2" type="noConversion"/>
  </si>
  <si>
    <t>AC241210</t>
    <phoneticPr fontId="2" type="noConversion"/>
  </si>
  <si>
    <t>Annie獎金</t>
    <phoneticPr fontId="2" type="noConversion"/>
  </si>
  <si>
    <t>專案簽名</t>
    <phoneticPr fontId="2" type="noConversion"/>
  </si>
  <si>
    <t>劉蔚萱</t>
    <phoneticPr fontId="2" type="noConversion"/>
  </si>
  <si>
    <r>
      <t>獎金</t>
    </r>
    <r>
      <rPr>
        <b/>
        <sz val="16"/>
        <color rgb="FFFF0000"/>
        <rFont val="微軟正黑體"/>
        <family val="2"/>
        <charset val="136"/>
      </rPr>
      <t>補發</t>
    </r>
    <r>
      <rPr>
        <b/>
        <sz val="16"/>
        <color rgb="FF000000"/>
        <rFont val="微軟正黑體"/>
        <family val="2"/>
        <charset val="136"/>
      </rPr>
      <t>總計</t>
    </r>
    <phoneticPr fontId="2" type="noConversion"/>
  </si>
  <si>
    <t>16000-20000</t>
    <phoneticPr fontId="2" type="noConversion"/>
  </si>
  <si>
    <t>Jasmine總業績量</t>
    <phoneticPr fontId="2" type="noConversion"/>
  </si>
  <si>
    <t>原本總業績量</t>
    <phoneticPr fontId="2" type="noConversion"/>
  </si>
  <si>
    <t>多付</t>
    <phoneticPr fontId="2" type="noConversion"/>
  </si>
  <si>
    <t>實際</t>
    <phoneticPr fontId="2" type="noConversion"/>
  </si>
  <si>
    <t>-</t>
    <phoneticPr fontId="2" type="noConversion"/>
  </si>
  <si>
    <t>已發</t>
    <phoneticPr fontId="2" type="noConversion"/>
  </si>
  <si>
    <r>
      <t>獎金</t>
    </r>
    <r>
      <rPr>
        <b/>
        <sz val="14"/>
        <color rgb="FFFF0000"/>
        <rFont val="微軟正黑體"/>
        <family val="2"/>
        <charset val="136"/>
      </rPr>
      <t>補發</t>
    </r>
    <r>
      <rPr>
        <b/>
        <sz val="14"/>
        <color rgb="FF000000"/>
        <rFont val="微軟正黑體"/>
        <family val="2"/>
        <charset val="136"/>
      </rPr>
      <t>總計</t>
    </r>
    <phoneticPr fontId="2" type="noConversion"/>
  </si>
  <si>
    <r>
      <t>獎金</t>
    </r>
    <r>
      <rPr>
        <b/>
        <sz val="16"/>
        <color rgb="FFFF0000"/>
        <rFont val="微軟正黑體"/>
        <family val="2"/>
        <charset val="136"/>
      </rPr>
      <t>補發</t>
    </r>
    <r>
      <rPr>
        <b/>
        <sz val="16"/>
        <color rgb="FF000000"/>
        <rFont val="微軟正黑體"/>
        <family val="2"/>
        <charset val="136"/>
      </rPr>
      <t>總計</t>
    </r>
    <phoneticPr fontId="2" type="noConversion"/>
  </si>
  <si>
    <t>-</t>
    <phoneticPr fontId="2" type="noConversion"/>
  </si>
  <si>
    <t>-</t>
    <phoneticPr fontId="2" type="noConversion"/>
  </si>
  <si>
    <t>LL241202</t>
    <phoneticPr fontId="2" type="noConversion"/>
  </si>
  <si>
    <t>LL241202</t>
    <phoneticPr fontId="2" type="noConversion"/>
  </si>
  <si>
    <t>Lina (LL)</t>
    <phoneticPr fontId="2" type="noConversion"/>
  </si>
  <si>
    <t>Lina (LL)</t>
    <phoneticPr fontId="2" type="noConversion"/>
  </si>
  <si>
    <t>補發獎金</t>
    <phoneticPr fontId="2" type="noConversion"/>
  </si>
  <si>
    <t>-</t>
    <phoneticPr fontId="2" type="noConversion"/>
  </si>
  <si>
    <t>LL241202</t>
    <phoneticPr fontId="2" type="noConversion"/>
  </si>
  <si>
    <t>LL241202</t>
    <phoneticPr fontId="2" type="noConversion"/>
  </si>
  <si>
    <t>Lina (LL)</t>
    <phoneticPr fontId="2" type="noConversion"/>
  </si>
  <si>
    <t>Lina (LL)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</si>
</sst>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_);[Red]\(#,##0\)"/>
    <numFmt numFmtId="177" formatCode="[$-404]e/mm/dd;@"/>
    <numFmt numFmtId="178" formatCode="m&quot;月&quot;d&quot;日&quot;"/>
    <numFmt numFmtId="179" formatCode="#,##0_ "/>
  </numFmts>
  <fonts count="25">
    <font>
      <sz val="12"/>
      <color theme="1"/>
      <name val="新細明體"/>
      <family val="2"/>
      <charset val="136"/>
      <scheme val="minor"/>
    </font>
    <font>
      <sz val="12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8"/>
      <color indexed="8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sz val="12"/>
      <color rgb="FFFFFFFF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6"/>
      <color rgb="FF000000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rgb="FFFFFFFF"/>
      <name val="Microsoft JhengHei"/>
      <family val="2"/>
      <charset val="136"/>
    </font>
    <font>
      <b/>
      <sz val="14"/>
      <color theme="8" tint="-0.249977111117893"/>
      <name val="微軟正黑體"/>
      <family val="2"/>
      <charset val="136"/>
    </font>
    <font>
      <sz val="13"/>
      <color rgb="FF000000"/>
      <name val="微軟正黑體"/>
      <family val="2"/>
      <charset val="136"/>
    </font>
    <font>
      <b/>
      <sz val="16"/>
      <color rgb="FFFFFFFF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b/>
      <sz val="20"/>
      <color rgb="FFFFFFFF"/>
      <name val="Microsoft JhengHe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77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3" xfId="0" applyFont="1" applyBorder="1">
      <alignment vertical="center"/>
    </xf>
    <xf numFmtId="176" fontId="3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76" fontId="3" fillId="8" borderId="1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/>
    </xf>
    <xf numFmtId="176" fontId="16" fillId="3" borderId="11" xfId="0" applyNumberFormat="1" applyFont="1" applyFill="1" applyBorder="1" applyAlignment="1">
      <alignment horizontal="center" vertical="center"/>
    </xf>
    <xf numFmtId="176" fontId="3" fillId="8" borderId="5" xfId="0" applyNumberFormat="1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13" fillId="0" borderId="10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3" fillId="0" borderId="7" xfId="0" applyNumberFormat="1" applyFont="1" applyFill="1" applyBorder="1" applyAlignment="1">
      <alignment horizontal="center" vertical="center" wrapText="1"/>
    </xf>
    <xf numFmtId="3" fontId="3" fillId="0" borderId="2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3" fontId="1" fillId="0" borderId="40" xfId="0" applyNumberFormat="1" applyFont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/>
    </xf>
    <xf numFmtId="0" fontId="6" fillId="0" borderId="0" xfId="0" applyFont="1" applyBorder="1">
      <alignment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>
      <alignment vertic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>
      <alignment vertical="center"/>
    </xf>
    <xf numFmtId="3" fontId="3" fillId="8" borderId="11" xfId="0" applyNumberFormat="1" applyFont="1" applyFill="1" applyBorder="1" applyAlignment="1">
      <alignment horizontal="center" vertical="center" wrapText="1"/>
    </xf>
    <xf numFmtId="3" fontId="3" fillId="8" borderId="2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1" fillId="8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8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78" fontId="3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3" fontId="1" fillId="8" borderId="22" xfId="0" applyNumberFormat="1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3" fontId="1" fillId="8" borderId="5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178" fontId="1" fillId="7" borderId="16" xfId="0" applyNumberFormat="1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178" fontId="1" fillId="7" borderId="21" xfId="0" applyNumberFormat="1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3" fontId="1" fillId="8" borderId="21" xfId="0" applyNumberFormat="1" applyFont="1" applyFill="1" applyBorder="1" applyAlignment="1">
      <alignment horizontal="center" vertical="center"/>
    </xf>
    <xf numFmtId="178" fontId="1" fillId="7" borderId="7" xfId="0" applyNumberFormat="1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3" fontId="1" fillId="8" borderId="7" xfId="0" applyNumberFormat="1" applyFont="1" applyFill="1" applyBorder="1" applyAlignment="1">
      <alignment horizontal="center" vertical="center"/>
    </xf>
    <xf numFmtId="0" fontId="3" fillId="6" borderId="40" xfId="0" applyFont="1" applyFill="1" applyBorder="1" applyAlignment="1">
      <alignment horizontal="center" vertical="center"/>
    </xf>
    <xf numFmtId="178" fontId="3" fillId="7" borderId="40" xfId="0" applyNumberFormat="1" applyFont="1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3" fontId="1" fillId="0" borderId="40" xfId="0" applyNumberFormat="1" applyFont="1" applyBorder="1" applyAlignment="1">
      <alignment horizontal="center" vertical="center"/>
    </xf>
    <xf numFmtId="3" fontId="1" fillId="8" borderId="11" xfId="0" applyNumberFormat="1" applyFont="1" applyFill="1" applyBorder="1" applyAlignment="1">
      <alignment horizontal="center" vertical="center"/>
    </xf>
    <xf numFmtId="3" fontId="1" fillId="8" borderId="40" xfId="0" applyNumberFormat="1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8" fillId="8" borderId="21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8" fillId="8" borderId="1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3" fontId="13" fillId="7" borderId="1" xfId="0" applyNumberFormat="1" applyFont="1" applyFill="1" applyBorder="1" applyAlignment="1">
      <alignment horizontal="center" vertical="center" wrapText="1"/>
    </xf>
    <xf numFmtId="3" fontId="13" fillId="0" borderId="21" xfId="0" applyNumberFormat="1" applyFont="1" applyBorder="1" applyAlignment="1">
      <alignment horizontal="center" vertical="center" wrapText="1"/>
    </xf>
    <xf numFmtId="3" fontId="13" fillId="7" borderId="21" xfId="0" applyNumberFormat="1" applyFont="1" applyFill="1" applyBorder="1" applyAlignment="1">
      <alignment horizontal="center" vertical="center" wrapText="1"/>
    </xf>
    <xf numFmtId="3" fontId="3" fillId="8" borderId="5" xfId="0" applyNumberFormat="1" applyFont="1" applyFill="1" applyBorder="1" applyAlignment="1">
      <alignment horizontal="center" vertical="center" wrapText="1"/>
    </xf>
    <xf numFmtId="3" fontId="1" fillId="0" borderId="7" xfId="0" applyNumberFormat="1" applyFont="1" applyBorder="1" applyAlignment="1">
      <alignment horizontal="center" vertical="center" wrapText="1"/>
    </xf>
    <xf numFmtId="3" fontId="3" fillId="8" borderId="8" xfId="0" applyNumberFormat="1" applyFont="1" applyFill="1" applyBorder="1" applyAlignment="1">
      <alignment horizontal="center" vertical="center" wrapText="1"/>
    </xf>
    <xf numFmtId="3" fontId="13" fillId="0" borderId="40" xfId="0" applyNumberFormat="1" applyFont="1" applyBorder="1" applyAlignment="1">
      <alignment horizontal="center" vertical="center" wrapText="1"/>
    </xf>
    <xf numFmtId="3" fontId="13" fillId="7" borderId="40" xfId="0" applyNumberFormat="1" applyFont="1" applyFill="1" applyBorder="1" applyAlignment="1">
      <alignment horizontal="center" vertical="center" wrapText="1"/>
    </xf>
    <xf numFmtId="178" fontId="1" fillId="7" borderId="40" xfId="0" applyNumberFormat="1" applyFont="1" applyFill="1" applyBorder="1" applyAlignment="1">
      <alignment horizontal="center" vertical="center"/>
    </xf>
    <xf numFmtId="0" fontId="1" fillId="7" borderId="40" xfId="0" applyFont="1" applyFill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center" vertical="center" wrapText="1"/>
    </xf>
    <xf numFmtId="3" fontId="13" fillId="7" borderId="7" xfId="0" applyNumberFormat="1" applyFont="1" applyFill="1" applyBorder="1" applyAlignment="1">
      <alignment horizontal="center" vertical="center" wrapText="1"/>
    </xf>
    <xf numFmtId="178" fontId="1" fillId="7" borderId="10" xfId="0" applyNumberFormat="1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3" fontId="13" fillId="7" borderId="10" xfId="0" applyNumberFormat="1" applyFont="1" applyFill="1" applyBorder="1" applyAlignment="1">
      <alignment horizontal="center" vertical="center" wrapText="1"/>
    </xf>
    <xf numFmtId="3" fontId="3" fillId="8" borderId="23" xfId="0" applyNumberFormat="1" applyFont="1" applyFill="1" applyBorder="1" applyAlignment="1">
      <alignment horizontal="center" vertical="center" wrapText="1"/>
    </xf>
    <xf numFmtId="178" fontId="13" fillId="7" borderId="40" xfId="0" applyNumberFormat="1" applyFont="1" applyFill="1" applyBorder="1" applyAlignment="1">
      <alignment horizontal="center" vertical="center" wrapText="1"/>
    </xf>
    <xf numFmtId="0" fontId="13" fillId="7" borderId="40" xfId="0" applyFont="1" applyFill="1" applyBorder="1" applyAlignment="1">
      <alignment horizontal="center" vertical="center" wrapText="1"/>
    </xf>
    <xf numFmtId="3" fontId="3" fillId="2" borderId="16" xfId="0" applyNumberFormat="1" applyFont="1" applyFill="1" applyBorder="1" applyAlignment="1">
      <alignment horizontal="center" vertical="center" wrapText="1"/>
    </xf>
    <xf numFmtId="3" fontId="3" fillId="0" borderId="21" xfId="0" applyNumberFormat="1" applyFont="1" applyBorder="1" applyAlignment="1">
      <alignment horizontal="center" vertical="center" wrapText="1"/>
    </xf>
    <xf numFmtId="3" fontId="3" fillId="7" borderId="22" xfId="0" applyNumberFormat="1" applyFont="1" applyFill="1" applyBorder="1" applyAlignment="1">
      <alignment horizontal="center" vertical="center" wrapText="1"/>
    </xf>
    <xf numFmtId="3" fontId="3" fillId="7" borderId="5" xfId="0" applyNumberFormat="1" applyFont="1" applyFill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3" fontId="3" fillId="7" borderId="8" xfId="0" applyNumberFormat="1" applyFont="1" applyFill="1" applyBorder="1" applyAlignment="1">
      <alignment horizontal="center" vertical="center" wrapText="1"/>
    </xf>
    <xf numFmtId="3" fontId="3" fillId="0" borderId="40" xfId="0" applyNumberFormat="1" applyFont="1" applyBorder="1" applyAlignment="1">
      <alignment horizontal="center" vertical="center" wrapText="1"/>
    </xf>
    <xf numFmtId="3" fontId="3" fillId="7" borderId="11" xfId="0" applyNumberFormat="1" applyFont="1" applyFill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 vertical="center" wrapText="1"/>
    </xf>
    <xf numFmtId="3" fontId="1" fillId="8" borderId="16" xfId="0" applyNumberFormat="1" applyFont="1" applyFill="1" applyBorder="1" applyAlignment="1">
      <alignment horizontal="center" vertical="center" wrapText="1"/>
    </xf>
    <xf numFmtId="3" fontId="1" fillId="8" borderId="7" xfId="0" applyNumberFormat="1" applyFont="1" applyFill="1" applyBorder="1" applyAlignment="1">
      <alignment horizontal="center" vertical="center" wrapText="1"/>
    </xf>
    <xf numFmtId="178" fontId="1" fillId="0" borderId="21" xfId="0" applyNumberFormat="1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178" fontId="1" fillId="0" borderId="7" xfId="0" applyNumberFormat="1" applyFont="1" applyFill="1" applyBorder="1" applyAlignment="1">
      <alignment horizontal="center" vertical="center"/>
    </xf>
    <xf numFmtId="178" fontId="1" fillId="0" borderId="40" xfId="0" applyNumberFormat="1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3" fontId="3" fillId="0" borderId="40" xfId="0" applyNumberFormat="1" applyFont="1" applyFill="1" applyBorder="1" applyAlignment="1">
      <alignment horizontal="center" vertical="center" wrapText="1"/>
    </xf>
    <xf numFmtId="3" fontId="3" fillId="7" borderId="25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3" fontId="1" fillId="8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3" fillId="13" borderId="40" xfId="0" applyNumberFormat="1" applyFont="1" applyFill="1" applyBorder="1" applyAlignment="1">
      <alignment horizontal="center" vertical="center" wrapText="1"/>
    </xf>
    <xf numFmtId="3" fontId="3" fillId="13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13" borderId="1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9" fontId="3" fillId="8" borderId="7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/>
    </xf>
    <xf numFmtId="176" fontId="3" fillId="13" borderId="5" xfId="0" applyNumberFormat="1" applyFont="1" applyFill="1" applyBorder="1" applyAlignment="1">
      <alignment horizontal="center" vertical="center"/>
    </xf>
    <xf numFmtId="176" fontId="3" fillId="13" borderId="46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3" fontId="13" fillId="0" borderId="40" xfId="0" applyNumberFormat="1" applyFont="1" applyFill="1" applyBorder="1" applyAlignment="1">
      <alignment horizontal="center" vertical="center" wrapText="1"/>
    </xf>
    <xf numFmtId="3" fontId="1" fillId="14" borderId="8" xfId="0" applyNumberFormat="1" applyFont="1" applyFill="1" applyBorder="1" applyAlignment="1">
      <alignment horizontal="center" vertical="center"/>
    </xf>
    <xf numFmtId="3" fontId="1" fillId="14" borderId="53" xfId="0" applyNumberFormat="1" applyFont="1" applyFill="1" applyBorder="1" applyAlignment="1">
      <alignment horizontal="center" vertical="center"/>
    </xf>
    <xf numFmtId="3" fontId="3" fillId="0" borderId="22" xfId="0" applyNumberFormat="1" applyFont="1" applyFill="1" applyBorder="1" applyAlignment="1">
      <alignment horizontal="center" vertical="center" wrapText="1"/>
    </xf>
    <xf numFmtId="3" fontId="3" fillId="0" borderId="8" xfId="0" applyNumberFormat="1" applyFont="1" applyFill="1" applyBorder="1" applyAlignment="1">
      <alignment horizontal="center" vertical="center" wrapText="1"/>
    </xf>
    <xf numFmtId="3" fontId="1" fillId="0" borderId="40" xfId="0" applyNumberFormat="1" applyFont="1" applyFill="1" applyBorder="1" applyAlignment="1">
      <alignment horizontal="center" vertical="center" wrapText="1"/>
    </xf>
    <xf numFmtId="176" fontId="3" fillId="0" borderId="18" xfId="0" applyNumberFormat="1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right" vertical="center"/>
    </xf>
    <xf numFmtId="0" fontId="17" fillId="3" borderId="18" xfId="0" applyFont="1" applyFill="1" applyBorder="1" applyAlignment="1">
      <alignment horizontal="right" vertical="center"/>
    </xf>
    <xf numFmtId="0" fontId="17" fillId="3" borderId="19" xfId="0" applyFont="1" applyFill="1" applyBorder="1" applyAlignment="1">
      <alignment horizontal="right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177" fontId="3" fillId="0" borderId="10" xfId="0" applyNumberFormat="1" applyFont="1" applyFill="1" applyBorder="1" applyAlignment="1">
      <alignment horizontal="center" vertical="center"/>
    </xf>
    <xf numFmtId="177" fontId="3" fillId="0" borderId="16" xfId="0" applyNumberFormat="1" applyFont="1" applyFill="1" applyBorder="1" applyAlignment="1">
      <alignment horizontal="center" vertical="center"/>
    </xf>
    <xf numFmtId="176" fontId="3" fillId="0" borderId="10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9" fillId="9" borderId="26" xfId="0" applyFont="1" applyFill="1" applyBorder="1" applyAlignment="1">
      <alignment horizontal="right" vertical="center" wrapText="1"/>
    </xf>
    <xf numFmtId="0" fontId="9" fillId="9" borderId="27" xfId="0" applyFont="1" applyFill="1" applyBorder="1" applyAlignment="1">
      <alignment horizontal="right" vertical="center" wrapText="1"/>
    </xf>
    <xf numFmtId="0" fontId="9" fillId="9" borderId="28" xfId="0" applyFont="1" applyFill="1" applyBorder="1" applyAlignment="1">
      <alignment horizontal="right" vertical="center" wrapText="1"/>
    </xf>
    <xf numFmtId="176" fontId="5" fillId="9" borderId="29" xfId="0" applyNumberFormat="1" applyFont="1" applyFill="1" applyBorder="1" applyAlignment="1">
      <alignment horizontal="center" vertical="center" wrapText="1"/>
    </xf>
    <xf numFmtId="176" fontId="5" fillId="9" borderId="27" xfId="0" applyNumberFormat="1" applyFont="1" applyFill="1" applyBorder="1" applyAlignment="1">
      <alignment horizontal="center" vertical="center" wrapText="1"/>
    </xf>
    <xf numFmtId="176" fontId="5" fillId="9" borderId="33" xfId="0" applyNumberFormat="1" applyFont="1" applyFill="1" applyBorder="1" applyAlignment="1">
      <alignment horizontal="center" vertical="center" wrapText="1"/>
    </xf>
    <xf numFmtId="0" fontId="11" fillId="10" borderId="20" xfId="0" applyFont="1" applyFill="1" applyBorder="1" applyAlignment="1">
      <alignment horizontal="right" vertical="center"/>
    </xf>
    <xf numFmtId="0" fontId="11" fillId="10" borderId="21" xfId="0" applyFont="1" applyFill="1" applyBorder="1" applyAlignment="1">
      <alignment horizontal="right" vertical="center"/>
    </xf>
    <xf numFmtId="179" fontId="11" fillId="10" borderId="21" xfId="0" applyNumberFormat="1" applyFont="1" applyFill="1" applyBorder="1" applyAlignment="1">
      <alignment horizontal="center" vertical="center"/>
    </xf>
    <xf numFmtId="179" fontId="11" fillId="10" borderId="22" xfId="0" applyNumberFormat="1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right" vertical="center"/>
    </xf>
    <xf numFmtId="0" fontId="11" fillId="11" borderId="1" xfId="0" applyFont="1" applyFill="1" applyBorder="1" applyAlignment="1">
      <alignment horizontal="right" vertical="center"/>
    </xf>
    <xf numFmtId="179" fontId="11" fillId="11" borderId="1" xfId="0" applyNumberFormat="1" applyFont="1" applyFill="1" applyBorder="1" applyAlignment="1">
      <alignment horizontal="center" vertical="center"/>
    </xf>
    <xf numFmtId="179" fontId="11" fillId="11" borderId="5" xfId="0" applyNumberFormat="1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right" vertical="center"/>
    </xf>
    <xf numFmtId="0" fontId="11" fillId="5" borderId="31" xfId="0" applyFont="1" applyFill="1" applyBorder="1" applyAlignment="1">
      <alignment horizontal="right" vertical="center"/>
    </xf>
    <xf numFmtId="0" fontId="11" fillId="5" borderId="32" xfId="0" applyFont="1" applyFill="1" applyBorder="1" applyAlignment="1">
      <alignment horizontal="right" vertical="center"/>
    </xf>
    <xf numFmtId="0" fontId="3" fillId="0" borderId="40" xfId="0" applyFont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center" vertical="center"/>
    </xf>
    <xf numFmtId="0" fontId="11" fillId="10" borderId="24" xfId="0" applyFont="1" applyFill="1" applyBorder="1" applyAlignment="1">
      <alignment horizontal="right" vertical="center"/>
    </xf>
    <xf numFmtId="0" fontId="11" fillId="10" borderId="16" xfId="0" applyFont="1" applyFill="1" applyBorder="1" applyAlignment="1">
      <alignment horizontal="right" vertical="center"/>
    </xf>
    <xf numFmtId="179" fontId="11" fillId="10" borderId="16" xfId="0" applyNumberFormat="1" applyFont="1" applyFill="1" applyBorder="1" applyAlignment="1">
      <alignment horizontal="center" vertical="center"/>
    </xf>
    <xf numFmtId="179" fontId="11" fillId="10" borderId="25" xfId="0" applyNumberFormat="1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1" fillId="10" borderId="17" xfId="0" applyFont="1" applyFill="1" applyBorder="1" applyAlignment="1">
      <alignment horizontal="right" vertical="center"/>
    </xf>
    <xf numFmtId="0" fontId="11" fillId="10" borderId="18" xfId="0" applyFont="1" applyFill="1" applyBorder="1" applyAlignment="1">
      <alignment horizontal="right" vertical="center"/>
    </xf>
    <xf numFmtId="0" fontId="11" fillId="10" borderId="19" xfId="0" applyFont="1" applyFill="1" applyBorder="1" applyAlignment="1">
      <alignment horizontal="right" vertical="center"/>
    </xf>
    <xf numFmtId="179" fontId="11" fillId="10" borderId="34" xfId="0" applyNumberFormat="1" applyFont="1" applyFill="1" applyBorder="1" applyAlignment="1">
      <alignment horizontal="center" vertical="center"/>
    </xf>
    <xf numFmtId="179" fontId="11" fillId="10" borderId="18" xfId="0" applyNumberFormat="1" applyFont="1" applyFill="1" applyBorder="1" applyAlignment="1">
      <alignment horizontal="center" vertical="center"/>
    </xf>
    <xf numFmtId="179" fontId="11" fillId="10" borderId="45" xfId="0" applyNumberFormat="1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4" fillId="4" borderId="17" xfId="0" applyFont="1" applyFill="1" applyBorder="1" applyAlignment="1">
      <alignment horizontal="center" vertical="center" wrapText="1"/>
    </xf>
    <xf numFmtId="0" fontId="24" fillId="4" borderId="18" xfId="0" applyFont="1" applyFill="1" applyBorder="1" applyAlignment="1">
      <alignment horizontal="center" vertical="center" wrapText="1"/>
    </xf>
    <xf numFmtId="0" fontId="24" fillId="4" borderId="45" xfId="0" applyFont="1" applyFill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6" borderId="54" xfId="0" applyFont="1" applyFill="1" applyBorder="1" applyAlignment="1">
      <alignment horizontal="center" vertical="center"/>
    </xf>
    <xf numFmtId="0" fontId="3" fillId="6" borderId="42" xfId="0" applyFont="1" applyFill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8" fontId="1" fillId="0" borderId="50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0" xfId="0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 wrapText="1"/>
    </xf>
    <xf numFmtId="3" fontId="3" fillId="0" borderId="50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7" borderId="23" xfId="0" applyNumberFormat="1" applyFont="1" applyFill="1" applyBorder="1" applyAlignment="1">
      <alignment horizontal="center" vertical="center" wrapText="1"/>
    </xf>
    <xf numFmtId="3" fontId="3" fillId="7" borderId="25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9" borderId="48" xfId="0" applyFont="1" applyFill="1" applyBorder="1" applyAlignment="1">
      <alignment horizontal="right" vertical="center" wrapText="1"/>
    </xf>
    <xf numFmtId="0" fontId="9" fillId="9" borderId="50" xfId="0" applyFont="1" applyFill="1" applyBorder="1" applyAlignment="1">
      <alignment horizontal="right" vertical="center" wrapText="1"/>
    </xf>
    <xf numFmtId="176" fontId="5" fillId="9" borderId="41" xfId="0" applyNumberFormat="1" applyFont="1" applyFill="1" applyBorder="1" applyAlignment="1">
      <alignment horizontal="center" vertical="center" wrapText="1"/>
    </xf>
    <xf numFmtId="176" fontId="5" fillId="9" borderId="44" xfId="0" applyNumberFormat="1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right" vertical="center"/>
    </xf>
    <xf numFmtId="0" fontId="11" fillId="5" borderId="16" xfId="0" applyFont="1" applyFill="1" applyBorder="1" applyAlignment="1">
      <alignment horizontal="right" vertical="center"/>
    </xf>
    <xf numFmtId="0" fontId="9" fillId="9" borderId="6" xfId="0" applyFont="1" applyFill="1" applyBorder="1" applyAlignment="1">
      <alignment horizontal="right" vertical="center" wrapText="1"/>
    </xf>
    <xf numFmtId="0" fontId="9" fillId="9" borderId="7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center" vertical="center"/>
    </xf>
    <xf numFmtId="0" fontId="1" fillId="6" borderId="50" xfId="0" applyFont="1" applyFill="1" applyBorder="1" applyAlignment="1">
      <alignment horizontal="center" vertical="center"/>
    </xf>
    <xf numFmtId="179" fontId="11" fillId="13" borderId="1" xfId="0" applyNumberFormat="1" applyFont="1" applyFill="1" applyBorder="1" applyAlignment="1">
      <alignment horizontal="center" vertical="center"/>
    </xf>
    <xf numFmtId="179" fontId="11" fillId="13" borderId="5" xfId="0" applyNumberFormat="1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 wrapText="1"/>
    </xf>
    <xf numFmtId="0" fontId="24" fillId="4" borderId="51" xfId="0" applyFont="1" applyFill="1" applyBorder="1" applyAlignment="1">
      <alignment horizontal="center" vertical="center" wrapText="1"/>
    </xf>
    <xf numFmtId="0" fontId="24" fillId="4" borderId="52" xfId="0" applyFont="1" applyFill="1" applyBorder="1" applyAlignment="1">
      <alignment horizontal="center" vertical="center" wrapText="1"/>
    </xf>
    <xf numFmtId="0" fontId="6" fillId="0" borderId="38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0" fontId="15" fillId="9" borderId="6" xfId="0" applyFont="1" applyFill="1" applyBorder="1" applyAlignment="1">
      <alignment horizontal="right" vertical="center" wrapText="1"/>
    </xf>
    <xf numFmtId="0" fontId="15" fillId="9" borderId="7" xfId="0" applyFont="1" applyFill="1" applyBorder="1" applyAlignment="1">
      <alignment horizontal="right" vertical="center" wrapText="1"/>
    </xf>
    <xf numFmtId="176" fontId="5" fillId="9" borderId="7" xfId="0" applyNumberFormat="1" applyFont="1" applyFill="1" applyBorder="1" applyAlignment="1">
      <alignment horizontal="center" vertical="center" wrapText="1"/>
    </xf>
    <xf numFmtId="176" fontId="5" fillId="9" borderId="8" xfId="0" applyNumberFormat="1" applyFont="1" applyFill="1" applyBorder="1" applyAlignment="1">
      <alignment horizontal="center" vertical="center" wrapText="1"/>
    </xf>
    <xf numFmtId="176" fontId="5" fillId="13" borderId="7" xfId="0" applyNumberFormat="1" applyFont="1" applyFill="1" applyBorder="1" applyAlignment="1">
      <alignment horizontal="center" vertical="center" wrapText="1"/>
    </xf>
    <xf numFmtId="176" fontId="5" fillId="13" borderId="8" xfId="0" applyNumberFormat="1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19" fillId="4" borderId="35" xfId="0" applyFont="1" applyFill="1" applyBorder="1" applyAlignment="1">
      <alignment horizontal="center" vertical="center" wrapText="1"/>
    </xf>
    <xf numFmtId="0" fontId="19" fillId="4" borderId="36" xfId="0" applyFont="1" applyFill="1" applyBorder="1" applyAlignment="1">
      <alignment horizontal="center" vertical="center" wrapText="1"/>
    </xf>
    <xf numFmtId="0" fontId="19" fillId="4" borderId="37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1" fillId="8" borderId="1" xfId="0" applyNumberFormat="1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/>
    </xf>
    <xf numFmtId="0" fontId="18" fillId="8" borderId="25" xfId="0" applyFont="1" applyFill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3" fillId="0" borderId="10" xfId="0" applyNumberFormat="1" applyFont="1" applyBorder="1" applyAlignment="1">
      <alignment horizontal="center" vertical="center" wrapText="1"/>
    </xf>
    <xf numFmtId="3" fontId="13" fillId="0" borderId="16" xfId="0" applyNumberFormat="1" applyFont="1" applyBorder="1" applyAlignment="1">
      <alignment horizontal="center" vertical="center" wrapText="1"/>
    </xf>
    <xf numFmtId="3" fontId="13" fillId="8" borderId="23" xfId="0" applyNumberFormat="1" applyFont="1" applyFill="1" applyBorder="1" applyAlignment="1">
      <alignment horizontal="center" vertical="center" wrapText="1"/>
    </xf>
    <xf numFmtId="3" fontId="13" fillId="8" borderId="25" xfId="0" applyNumberFormat="1" applyFont="1" applyFill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9" fillId="9" borderId="43" xfId="0" applyFont="1" applyFill="1" applyBorder="1" applyAlignment="1">
      <alignment horizontal="right" vertical="center" wrapText="1"/>
    </xf>
    <xf numFmtId="0" fontId="9" fillId="9" borderId="13" xfId="0" applyFont="1" applyFill="1" applyBorder="1" applyAlignment="1">
      <alignment horizontal="right" vertical="center" wrapText="1"/>
    </xf>
    <xf numFmtId="0" fontId="9" fillId="9" borderId="42" xfId="0" applyFont="1" applyFill="1" applyBorder="1" applyAlignment="1">
      <alignment horizontal="right" vertical="center" wrapText="1"/>
    </xf>
    <xf numFmtId="176" fontId="5" fillId="9" borderId="13" xfId="0" applyNumberFormat="1" applyFont="1" applyFill="1" applyBorder="1" applyAlignment="1">
      <alignment horizontal="center" vertical="center" wrapText="1"/>
    </xf>
    <xf numFmtId="176" fontId="5" fillId="13" borderId="41" xfId="0" applyNumberFormat="1" applyFont="1" applyFill="1" applyBorder="1" applyAlignment="1">
      <alignment horizontal="center" vertical="center" wrapText="1"/>
    </xf>
    <xf numFmtId="176" fontId="5" fillId="13" borderId="13" xfId="0" applyNumberFormat="1" applyFont="1" applyFill="1" applyBorder="1" applyAlignment="1">
      <alignment horizontal="center" vertical="center" wrapText="1"/>
    </xf>
    <xf numFmtId="176" fontId="5" fillId="13" borderId="44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EF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4"/>
  <sheetViews>
    <sheetView zoomScale="85" zoomScaleNormal="85" workbookViewId="0">
      <selection activeCell="J20" sqref="J20"/>
    </sheetView>
  </sheetViews>
  <sheetFormatPr defaultColWidth="8.875" defaultRowHeight="15.75"/>
  <cols>
    <col min="1" max="10" width="15.875" style="9" customWidth="1"/>
    <col min="11" max="11" width="22.125" style="9" bestFit="1" customWidth="1"/>
    <col min="12" max="16384" width="8.875" style="9"/>
  </cols>
  <sheetData>
    <row r="1" spans="1:11" ht="24.95" customHeight="1">
      <c r="A1" s="236" t="s">
        <v>3</v>
      </c>
      <c r="B1" s="237"/>
      <c r="C1" s="15" t="s">
        <v>4</v>
      </c>
      <c r="D1" s="15" t="s">
        <v>8</v>
      </c>
      <c r="E1" s="15" t="s">
        <v>7</v>
      </c>
      <c r="F1" s="15" t="s">
        <v>22</v>
      </c>
      <c r="G1" s="15" t="s">
        <v>9</v>
      </c>
      <c r="H1" s="16" t="s">
        <v>23</v>
      </c>
      <c r="I1" s="17" t="s">
        <v>24</v>
      </c>
      <c r="J1" s="18" t="s">
        <v>5</v>
      </c>
      <c r="K1" s="43"/>
    </row>
    <row r="2" spans="1:11" ht="24" customHeight="1">
      <c r="A2" s="25" t="s">
        <v>11</v>
      </c>
      <c r="B2" s="26" t="s">
        <v>12</v>
      </c>
      <c r="C2" s="26" t="s">
        <v>13</v>
      </c>
      <c r="D2" s="27">
        <v>100000</v>
      </c>
      <c r="E2" s="26" t="s">
        <v>14</v>
      </c>
      <c r="F2" s="27">
        <v>460000</v>
      </c>
      <c r="G2" s="26" t="s">
        <v>14</v>
      </c>
      <c r="H2" s="26" t="s">
        <v>14</v>
      </c>
      <c r="I2" s="26" t="s">
        <v>14</v>
      </c>
      <c r="J2" s="21">
        <f t="shared" ref="J2:J9" si="0">SUM(F2:I2)</f>
        <v>460000</v>
      </c>
    </row>
    <row r="3" spans="1:11" ht="24" customHeight="1">
      <c r="A3" s="214" t="s">
        <v>6</v>
      </c>
      <c r="B3" s="216" t="s">
        <v>0</v>
      </c>
      <c r="C3" s="218">
        <v>43577</v>
      </c>
      <c r="D3" s="220">
        <v>40000</v>
      </c>
      <c r="E3" s="216">
        <v>2080</v>
      </c>
      <c r="F3" s="27">
        <v>40000</v>
      </c>
      <c r="G3" s="27">
        <v>63214</v>
      </c>
      <c r="H3" s="27" t="s">
        <v>30</v>
      </c>
      <c r="I3" s="26" t="s">
        <v>32</v>
      </c>
      <c r="J3" s="21">
        <f t="shared" si="0"/>
        <v>103214</v>
      </c>
      <c r="K3" s="43"/>
    </row>
    <row r="4" spans="1:11" ht="24" customHeight="1">
      <c r="A4" s="215"/>
      <c r="B4" s="217"/>
      <c r="C4" s="219"/>
      <c r="D4" s="221"/>
      <c r="E4" s="217"/>
      <c r="F4" s="27" t="s">
        <v>263</v>
      </c>
      <c r="G4" s="27">
        <v>3288</v>
      </c>
      <c r="H4" s="27" t="s">
        <v>264</v>
      </c>
      <c r="I4" s="193" t="s">
        <v>30</v>
      </c>
      <c r="J4" s="199">
        <f>G4</f>
        <v>3288</v>
      </c>
      <c r="K4" s="43"/>
    </row>
    <row r="5" spans="1:11" ht="24" customHeight="1">
      <c r="A5" s="214" t="s">
        <v>1</v>
      </c>
      <c r="B5" s="222" t="s">
        <v>2</v>
      </c>
      <c r="C5" s="218">
        <v>43822</v>
      </c>
      <c r="D5" s="220">
        <v>41000</v>
      </c>
      <c r="E5" s="216">
        <v>1835</v>
      </c>
      <c r="F5" s="27">
        <v>41000</v>
      </c>
      <c r="G5" s="41">
        <v>67855</v>
      </c>
      <c r="H5" s="27">
        <v>30000</v>
      </c>
      <c r="I5" s="27">
        <v>10000</v>
      </c>
      <c r="J5" s="21">
        <f t="shared" si="0"/>
        <v>148855</v>
      </c>
      <c r="K5" s="43"/>
    </row>
    <row r="6" spans="1:11" ht="24" customHeight="1">
      <c r="A6" s="215"/>
      <c r="B6" s="223"/>
      <c r="C6" s="219"/>
      <c r="D6" s="221"/>
      <c r="E6" s="217"/>
      <c r="F6" s="193" t="s">
        <v>30</v>
      </c>
      <c r="G6" s="41">
        <v>30732</v>
      </c>
      <c r="H6" s="193" t="s">
        <v>30</v>
      </c>
      <c r="I6" s="193" t="s">
        <v>30</v>
      </c>
      <c r="J6" s="199">
        <f>G6</f>
        <v>30732</v>
      </c>
      <c r="K6" s="43"/>
    </row>
    <row r="7" spans="1:11" ht="24" customHeight="1">
      <c r="A7" s="23" t="s">
        <v>53</v>
      </c>
      <c r="B7" s="28" t="s">
        <v>56</v>
      </c>
      <c r="C7" s="24">
        <v>45566</v>
      </c>
      <c r="D7" s="66" t="s">
        <v>59</v>
      </c>
      <c r="E7" s="28">
        <v>91</v>
      </c>
      <c r="F7" s="27">
        <v>8975</v>
      </c>
      <c r="G7" s="27" t="s">
        <v>30</v>
      </c>
      <c r="H7" s="27">
        <v>2000</v>
      </c>
      <c r="I7" s="27">
        <v>3000</v>
      </c>
      <c r="J7" s="21">
        <f t="shared" si="0"/>
        <v>13975</v>
      </c>
      <c r="K7" s="43"/>
    </row>
    <row r="8" spans="1:11" ht="24" customHeight="1">
      <c r="A8" s="23" t="s">
        <v>54</v>
      </c>
      <c r="B8" s="28" t="s">
        <v>57</v>
      </c>
      <c r="C8" s="24">
        <v>45579</v>
      </c>
      <c r="D8" s="66" t="s">
        <v>60</v>
      </c>
      <c r="E8" s="28">
        <v>78</v>
      </c>
      <c r="F8" s="27">
        <v>7266</v>
      </c>
      <c r="G8" s="27" t="s">
        <v>30</v>
      </c>
      <c r="H8" s="27">
        <v>2000</v>
      </c>
      <c r="I8" s="27">
        <v>3000</v>
      </c>
      <c r="J8" s="21">
        <f t="shared" si="0"/>
        <v>12266</v>
      </c>
      <c r="K8" s="43"/>
    </row>
    <row r="9" spans="1:11" ht="24" customHeight="1">
      <c r="A9" s="28" t="s">
        <v>55</v>
      </c>
      <c r="B9" s="28" t="s">
        <v>58</v>
      </c>
      <c r="C9" s="24">
        <v>45607</v>
      </c>
      <c r="D9" s="66" t="s">
        <v>61</v>
      </c>
      <c r="E9" s="181">
        <v>50</v>
      </c>
      <c r="F9" s="27">
        <v>5890</v>
      </c>
      <c r="G9" s="27" t="s">
        <v>30</v>
      </c>
      <c r="H9" s="27" t="s">
        <v>30</v>
      </c>
      <c r="I9" s="27" t="s">
        <v>30</v>
      </c>
      <c r="J9" s="21">
        <f t="shared" si="0"/>
        <v>5890</v>
      </c>
    </row>
    <row r="10" spans="1:11" ht="24" customHeight="1">
      <c r="A10" s="224" t="s">
        <v>252</v>
      </c>
      <c r="B10" s="226" t="s">
        <v>163</v>
      </c>
      <c r="C10" s="228" t="s">
        <v>30</v>
      </c>
      <c r="D10" s="230" t="s">
        <v>30</v>
      </c>
      <c r="E10" s="232" t="s">
        <v>30</v>
      </c>
      <c r="F10" s="234" t="s">
        <v>30</v>
      </c>
      <c r="G10" s="27">
        <v>38353</v>
      </c>
      <c r="H10" s="234" t="s">
        <v>30</v>
      </c>
      <c r="I10" s="234" t="s">
        <v>30</v>
      </c>
      <c r="J10" s="21">
        <f t="shared" ref="J10" si="1">SUM(F10:I10)</f>
        <v>38353</v>
      </c>
    </row>
    <row r="11" spans="1:11" ht="24" customHeight="1" thickBot="1">
      <c r="A11" s="225"/>
      <c r="B11" s="227"/>
      <c r="C11" s="229"/>
      <c r="D11" s="231"/>
      <c r="E11" s="233"/>
      <c r="F11" s="235"/>
      <c r="G11" s="32">
        <v>11000</v>
      </c>
      <c r="H11" s="235"/>
      <c r="I11" s="235"/>
      <c r="J11" s="200">
        <f>G11</f>
        <v>11000</v>
      </c>
    </row>
    <row r="12" spans="1:11" ht="24.95" customHeight="1" thickBot="1">
      <c r="A12" s="211" t="s">
        <v>25</v>
      </c>
      <c r="B12" s="212"/>
      <c r="C12" s="212"/>
      <c r="D12" s="212"/>
      <c r="E12" s="212"/>
      <c r="F12" s="212"/>
      <c r="G12" s="212"/>
      <c r="H12" s="212"/>
      <c r="I12" s="213"/>
      <c r="J12" s="37">
        <f>SUM(J2:J11)</f>
        <v>827573</v>
      </c>
    </row>
    <row r="13" spans="1:11" ht="24.95" customHeight="1"/>
    <row r="14" spans="1:11" ht="24.95" customHeight="1"/>
  </sheetData>
  <mergeCells count="20">
    <mergeCell ref="F10:F11"/>
    <mergeCell ref="H10:H11"/>
    <mergeCell ref="I10:I11"/>
    <mergeCell ref="A1:B1"/>
    <mergeCell ref="A12:I12"/>
    <mergeCell ref="A3:A4"/>
    <mergeCell ref="B3:B4"/>
    <mergeCell ref="C3:C4"/>
    <mergeCell ref="E3:E4"/>
    <mergeCell ref="D3:D4"/>
    <mergeCell ref="D5:D6"/>
    <mergeCell ref="E5:E6"/>
    <mergeCell ref="C5:C6"/>
    <mergeCell ref="B5:B6"/>
    <mergeCell ref="A5:A6"/>
    <mergeCell ref="A10:A11"/>
    <mergeCell ref="B10:B11"/>
    <mergeCell ref="C10:C11"/>
    <mergeCell ref="D10:D11"/>
    <mergeCell ref="E10:E11"/>
  </mergeCells>
  <phoneticPr fontId="2" type="noConversion"/>
  <pageMargins left="0.7" right="0.7" top="0.75" bottom="0.75" header="0.3" footer="0.3"/>
  <pageSetup paperSize="9" orientation="portrait" r:id="rId1"/>
  <ignoredErrors>
    <ignoredError sqref="J3" formulaRange="1"/>
    <ignoredError sqref="J4 J6" formula="1"/>
    <ignoredError sqref="J5" formula="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zoomScale="70" zoomScaleNormal="70" workbookViewId="0">
      <pane ySplit="3" topLeftCell="A4" activePane="bottomLeft" state="frozen"/>
      <selection activeCell="A4" sqref="A4:L4"/>
      <selection pane="bottomLeft" activeCell="C41" sqref="C41"/>
    </sheetView>
  </sheetViews>
  <sheetFormatPr defaultColWidth="8.875" defaultRowHeight="15.75"/>
  <cols>
    <col min="1" max="12" width="15.875" style="9" customWidth="1"/>
    <col min="13" max="16384" width="8.875" style="9"/>
  </cols>
  <sheetData>
    <row r="1" spans="1:12" s="20" customFormat="1" ht="30" customHeight="1">
      <c r="A1" s="63" t="s">
        <v>26</v>
      </c>
      <c r="B1" s="64" t="s">
        <v>4</v>
      </c>
      <c r="C1" s="64" t="s">
        <v>8</v>
      </c>
      <c r="D1" s="64" t="s">
        <v>7</v>
      </c>
      <c r="E1" s="64" t="s">
        <v>22</v>
      </c>
      <c r="F1" s="64" t="s">
        <v>9</v>
      </c>
      <c r="G1" s="16" t="s">
        <v>23</v>
      </c>
      <c r="H1" s="17" t="s">
        <v>24</v>
      </c>
      <c r="I1" s="19" t="s">
        <v>5</v>
      </c>
    </row>
    <row r="2" spans="1:12" ht="30" customHeight="1" thickBot="1">
      <c r="A2" s="33" t="s">
        <v>53</v>
      </c>
      <c r="B2" s="29">
        <v>45566</v>
      </c>
      <c r="C2" s="68" t="s">
        <v>59</v>
      </c>
      <c r="D2" s="30">
        <v>91</v>
      </c>
      <c r="E2" s="2">
        <f>C2/365*D2</f>
        <v>8975.3424657534251</v>
      </c>
      <c r="F2" s="2" t="s">
        <v>52</v>
      </c>
      <c r="G2" s="2">
        <v>2000</v>
      </c>
      <c r="H2" s="2">
        <v>3000</v>
      </c>
      <c r="I2" s="3">
        <f>SUM(E2:H2)</f>
        <v>13975.342465753425</v>
      </c>
    </row>
    <row r="3" spans="1:12" ht="30" customHeight="1" thickBot="1">
      <c r="A3" s="7"/>
      <c r="B3" s="7"/>
      <c r="C3" s="7"/>
      <c r="D3" s="8"/>
      <c r="E3" s="7"/>
      <c r="F3" s="8"/>
      <c r="G3" s="8"/>
      <c r="H3" s="6"/>
    </row>
    <row r="4" spans="1:12" ht="30" customHeight="1" thickBot="1">
      <c r="A4" s="262" t="s">
        <v>209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4"/>
    </row>
    <row r="5" spans="1:12" ht="30" customHeight="1">
      <c r="A5" s="252" t="s">
        <v>62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4"/>
    </row>
    <row r="6" spans="1:12" ht="30" customHeight="1" thickBot="1">
      <c r="A6" s="39" t="s">
        <v>15</v>
      </c>
      <c r="B6" s="40" t="s">
        <v>16</v>
      </c>
      <c r="C6" s="255" t="s">
        <v>17</v>
      </c>
      <c r="D6" s="256"/>
      <c r="E6" s="257"/>
      <c r="F6" s="40" t="s">
        <v>18</v>
      </c>
      <c r="G6" s="40" t="s">
        <v>19</v>
      </c>
      <c r="H6" s="40" t="s">
        <v>20</v>
      </c>
      <c r="I6" s="51" t="s">
        <v>39</v>
      </c>
      <c r="J6" s="51" t="s">
        <v>21</v>
      </c>
      <c r="K6" s="51" t="s">
        <v>43</v>
      </c>
      <c r="L6" s="52" t="s">
        <v>48</v>
      </c>
    </row>
    <row r="7" spans="1:12" ht="30" customHeight="1" thickBot="1">
      <c r="A7" s="53" t="s">
        <v>156</v>
      </c>
      <c r="B7" s="113" t="s">
        <v>157</v>
      </c>
      <c r="C7" s="261" t="s">
        <v>108</v>
      </c>
      <c r="D7" s="261"/>
      <c r="E7" s="261"/>
      <c r="F7" s="148">
        <v>45955</v>
      </c>
      <c r="G7" s="149" t="s">
        <v>137</v>
      </c>
      <c r="H7" s="54">
        <v>945572</v>
      </c>
      <c r="I7" s="146">
        <v>7502</v>
      </c>
      <c r="J7" s="146">
        <v>12503</v>
      </c>
      <c r="K7" s="147">
        <v>25007</v>
      </c>
      <c r="L7" s="61"/>
    </row>
    <row r="8" spans="1:12" ht="30" customHeight="1">
      <c r="A8" s="244" t="s">
        <v>64</v>
      </c>
      <c r="B8" s="245"/>
      <c r="C8" s="245"/>
      <c r="D8" s="245"/>
      <c r="E8" s="245"/>
      <c r="F8" s="245"/>
      <c r="G8" s="245"/>
      <c r="H8" s="246">
        <f>H7</f>
        <v>945572</v>
      </c>
      <c r="I8" s="246"/>
      <c r="J8" s="246"/>
      <c r="K8" s="246"/>
      <c r="L8" s="247"/>
    </row>
    <row r="9" spans="1:12" ht="30" customHeight="1">
      <c r="A9" s="248" t="s">
        <v>71</v>
      </c>
      <c r="B9" s="249"/>
      <c r="C9" s="249"/>
      <c r="D9" s="249"/>
      <c r="E9" s="249"/>
      <c r="F9" s="249"/>
      <c r="G9" s="249"/>
      <c r="H9" s="250">
        <f>H8</f>
        <v>945572</v>
      </c>
      <c r="I9" s="250"/>
      <c r="J9" s="250"/>
      <c r="K9" s="250"/>
      <c r="L9" s="251"/>
    </row>
    <row r="10" spans="1:12" ht="30" customHeight="1">
      <c r="A10" s="248" t="s">
        <v>45</v>
      </c>
      <c r="B10" s="249"/>
      <c r="C10" s="249"/>
      <c r="D10" s="249"/>
      <c r="E10" s="249"/>
      <c r="F10" s="249"/>
      <c r="G10" s="249"/>
      <c r="H10" s="250">
        <v>0</v>
      </c>
      <c r="I10" s="250"/>
      <c r="J10" s="250"/>
      <c r="K10" s="250"/>
      <c r="L10" s="251"/>
    </row>
    <row r="11" spans="1:12" ht="30" customHeight="1">
      <c r="A11" s="258" t="s">
        <v>69</v>
      </c>
      <c r="B11" s="259"/>
      <c r="C11" s="259"/>
      <c r="D11" s="259"/>
      <c r="E11" s="259"/>
      <c r="F11" s="259"/>
      <c r="G11" s="260"/>
      <c r="H11" s="14">
        <f>H10</f>
        <v>0</v>
      </c>
      <c r="I11" s="14">
        <f>SUM(I7:I7)</f>
        <v>7502</v>
      </c>
      <c r="J11" s="14">
        <f>SUM(J7:J7)</f>
        <v>12503</v>
      </c>
      <c r="K11" s="14">
        <f>SUM(K7:K7)</f>
        <v>25007</v>
      </c>
      <c r="L11" s="38">
        <f>SUM(L7:L7)</f>
        <v>0</v>
      </c>
    </row>
    <row r="12" spans="1:12" ht="30" customHeight="1" thickBot="1">
      <c r="A12" s="238" t="s">
        <v>27</v>
      </c>
      <c r="B12" s="239"/>
      <c r="C12" s="239"/>
      <c r="D12" s="239"/>
      <c r="E12" s="239"/>
      <c r="F12" s="239"/>
      <c r="G12" s="240"/>
      <c r="H12" s="241">
        <f>SUM(H11:L11)</f>
        <v>45012</v>
      </c>
      <c r="I12" s="242"/>
      <c r="J12" s="242"/>
      <c r="K12" s="242"/>
      <c r="L12" s="243"/>
    </row>
    <row r="13" spans="1:12" ht="21">
      <c r="A13" s="36"/>
      <c r="B13" s="7"/>
      <c r="C13" s="7"/>
      <c r="D13" s="8"/>
      <c r="E13" s="7"/>
      <c r="F13" s="8"/>
      <c r="G13" s="8"/>
      <c r="H13" s="6"/>
    </row>
    <row r="14" spans="1:12" ht="21">
      <c r="A14" s="36" t="s">
        <v>31</v>
      </c>
      <c r="B14" s="7"/>
      <c r="C14" s="7"/>
      <c r="D14" s="8"/>
      <c r="E14" s="7"/>
      <c r="F14" s="8"/>
      <c r="G14" s="8"/>
      <c r="H14" s="6"/>
    </row>
    <row r="15" spans="1:12" ht="21">
      <c r="A15" s="36" t="s">
        <v>35</v>
      </c>
      <c r="B15" s="7"/>
      <c r="C15" s="7"/>
      <c r="D15" s="8"/>
      <c r="E15" s="7"/>
      <c r="F15" s="8"/>
      <c r="G15" s="8"/>
      <c r="H15" s="6"/>
    </row>
    <row r="16" spans="1:12" ht="21.75" thickBot="1">
      <c r="A16" s="36" t="s">
        <v>33</v>
      </c>
      <c r="B16" s="7"/>
      <c r="C16" s="7"/>
      <c r="D16" s="8"/>
      <c r="E16" s="7"/>
      <c r="I16" s="4" t="s">
        <v>10</v>
      </c>
      <c r="J16" s="5"/>
      <c r="K16" s="5"/>
      <c r="L16" s="5"/>
    </row>
    <row r="17" spans="1:8">
      <c r="A17" s="7"/>
      <c r="B17" s="7"/>
      <c r="C17" s="7"/>
      <c r="D17" s="8"/>
      <c r="E17" s="7"/>
      <c r="F17" s="8"/>
      <c r="G17" s="8"/>
      <c r="H17" s="6"/>
    </row>
    <row r="18" spans="1:8">
      <c r="A18" s="7"/>
      <c r="B18" s="7"/>
      <c r="C18" s="7"/>
      <c r="D18" s="8"/>
      <c r="E18" s="7"/>
    </row>
    <row r="19" spans="1:8">
      <c r="A19" s="7"/>
      <c r="B19" s="7"/>
      <c r="C19" s="7"/>
      <c r="D19" s="8"/>
      <c r="E19" s="7"/>
      <c r="F19" s="8"/>
      <c r="G19" s="8"/>
      <c r="H19" s="6"/>
    </row>
    <row r="20" spans="1:8">
      <c r="A20" s="7"/>
      <c r="B20" s="7"/>
      <c r="C20" s="7"/>
      <c r="D20" s="8"/>
      <c r="E20" s="7"/>
      <c r="F20" s="8"/>
      <c r="G20" s="8"/>
      <c r="H20" s="6"/>
    </row>
    <row r="21" spans="1:8">
      <c r="A21" s="7"/>
      <c r="B21" s="7"/>
      <c r="C21" s="7"/>
      <c r="D21" s="8"/>
      <c r="E21" s="7"/>
      <c r="F21" s="8"/>
      <c r="G21" s="8"/>
      <c r="H21" s="6"/>
    </row>
    <row r="22" spans="1:8">
      <c r="A22" s="7"/>
      <c r="B22" s="7"/>
      <c r="C22" s="7"/>
      <c r="D22" s="8"/>
      <c r="E22" s="7"/>
      <c r="F22" s="8"/>
      <c r="G22" s="8"/>
      <c r="H22" s="6"/>
    </row>
    <row r="23" spans="1:8">
      <c r="A23" s="7"/>
      <c r="B23" s="7"/>
      <c r="C23" s="7"/>
      <c r="D23" s="8"/>
      <c r="E23" s="7"/>
      <c r="F23" s="8"/>
      <c r="G23" s="8"/>
      <c r="H23" s="6"/>
    </row>
    <row r="24" spans="1:8">
      <c r="A24" s="7"/>
      <c r="B24" s="7"/>
      <c r="C24" s="7"/>
      <c r="D24" s="8"/>
      <c r="E24" s="7"/>
      <c r="F24" s="8"/>
      <c r="G24" s="8"/>
      <c r="H24" s="6"/>
    </row>
    <row r="25" spans="1:8">
      <c r="A25" s="7"/>
      <c r="B25" s="7"/>
      <c r="C25" s="7"/>
      <c r="D25" s="8"/>
      <c r="E25" s="7"/>
      <c r="F25" s="8"/>
      <c r="G25" s="8"/>
      <c r="H25" s="6"/>
    </row>
    <row r="26" spans="1:8">
      <c r="A26" s="7"/>
      <c r="B26" s="7"/>
      <c r="C26" s="7"/>
      <c r="D26" s="8"/>
      <c r="E26" s="7"/>
      <c r="F26" s="8"/>
      <c r="G26" s="8"/>
      <c r="H26" s="6"/>
    </row>
    <row r="27" spans="1:8">
      <c r="A27" s="7"/>
      <c r="B27" s="7"/>
      <c r="C27" s="7"/>
      <c r="D27" s="8"/>
      <c r="E27" s="7"/>
      <c r="F27" s="8"/>
      <c r="G27" s="8"/>
      <c r="H27" s="6"/>
    </row>
    <row r="28" spans="1:8">
      <c r="A28" s="7"/>
      <c r="B28" s="7"/>
      <c r="C28" s="7"/>
      <c r="D28" s="8"/>
      <c r="E28" s="7"/>
      <c r="F28" s="8"/>
      <c r="G28" s="8"/>
      <c r="H28" s="6"/>
    </row>
    <row r="29" spans="1:8">
      <c r="A29" s="7"/>
      <c r="B29" s="7"/>
      <c r="C29" s="7"/>
      <c r="D29" s="8"/>
      <c r="E29" s="7"/>
      <c r="F29" s="8"/>
      <c r="G29" s="8"/>
      <c r="H29" s="6"/>
    </row>
    <row r="30" spans="1:8">
      <c r="A30" s="7"/>
      <c r="B30" s="7"/>
      <c r="C30" s="7"/>
      <c r="D30" s="7"/>
      <c r="E30" s="8"/>
      <c r="F30" s="8"/>
      <c r="G30" s="6"/>
    </row>
    <row r="31" spans="1:8">
      <c r="A31" s="7"/>
      <c r="B31" s="7"/>
      <c r="C31" s="7"/>
      <c r="D31" s="7"/>
      <c r="E31" s="8"/>
      <c r="F31" s="8"/>
      <c r="G31" s="6"/>
    </row>
    <row r="32" spans="1:8">
      <c r="A32" s="7"/>
      <c r="B32" s="7"/>
      <c r="C32" s="7"/>
      <c r="D32" s="7"/>
      <c r="E32" s="8"/>
      <c r="F32" s="8"/>
      <c r="G32" s="6"/>
    </row>
    <row r="33" spans="1:7">
      <c r="A33" s="7"/>
      <c r="B33" s="7"/>
      <c r="C33" s="7"/>
      <c r="D33" s="7"/>
      <c r="E33" s="8"/>
      <c r="F33" s="8"/>
      <c r="G33" s="6"/>
    </row>
    <row r="34" spans="1:7">
      <c r="A34" s="7"/>
      <c r="B34" s="7"/>
      <c r="C34" s="7"/>
      <c r="D34" s="7"/>
      <c r="E34" s="8"/>
      <c r="F34" s="8"/>
      <c r="G34" s="6"/>
    </row>
    <row r="35" spans="1:7">
      <c r="A35" s="7"/>
      <c r="B35" s="7"/>
      <c r="C35" s="7"/>
      <c r="D35" s="7"/>
      <c r="E35" s="8"/>
      <c r="F35" s="8"/>
      <c r="G35" s="6"/>
    </row>
    <row r="36" spans="1:7">
      <c r="A36" s="7"/>
      <c r="B36" s="7"/>
      <c r="C36" s="7"/>
      <c r="D36" s="7"/>
      <c r="E36" s="8"/>
      <c r="F36" s="8"/>
      <c r="G36" s="6"/>
    </row>
    <row r="37" spans="1:7">
      <c r="A37" s="7"/>
      <c r="B37" s="7"/>
      <c r="C37" s="7"/>
      <c r="D37" s="7"/>
      <c r="E37" s="8"/>
      <c r="F37" s="8"/>
      <c r="G37" s="6"/>
    </row>
    <row r="38" spans="1:7">
      <c r="A38" s="7"/>
      <c r="B38" s="7"/>
      <c r="C38" s="7"/>
      <c r="D38" s="7"/>
      <c r="E38" s="8"/>
      <c r="F38" s="8"/>
      <c r="G38" s="6"/>
    </row>
    <row r="39" spans="1:7">
      <c r="D39" s="7"/>
      <c r="E39" s="8"/>
      <c r="F39" s="8"/>
      <c r="G39" s="6"/>
    </row>
    <row r="40" spans="1:7">
      <c r="D40" s="7"/>
      <c r="E40" s="8"/>
      <c r="F40" s="8"/>
      <c r="G40" s="6"/>
    </row>
    <row r="41" spans="1:7">
      <c r="D41" s="7"/>
      <c r="E41" s="8"/>
      <c r="F41" s="8"/>
      <c r="G41" s="6"/>
    </row>
    <row r="42" spans="1:7">
      <c r="D42" s="7"/>
      <c r="E42" s="8"/>
      <c r="F42" s="8"/>
      <c r="G42" s="6"/>
    </row>
    <row r="43" spans="1:7">
      <c r="D43" s="7"/>
      <c r="E43" s="8"/>
      <c r="F43" s="8"/>
      <c r="G43" s="6"/>
    </row>
    <row r="44" spans="1:7">
      <c r="D44" s="7"/>
      <c r="E44" s="8"/>
      <c r="F44" s="8"/>
      <c r="G44" s="6"/>
    </row>
    <row r="45" spans="1:7">
      <c r="D45" s="7"/>
      <c r="E45" s="8"/>
      <c r="F45" s="8"/>
      <c r="G45" s="6"/>
    </row>
    <row r="46" spans="1:7">
      <c r="D46" s="7"/>
      <c r="E46" s="8"/>
      <c r="F46" s="8"/>
      <c r="G46" s="6"/>
    </row>
    <row r="47" spans="1:7">
      <c r="D47" s="7"/>
      <c r="E47" s="8"/>
      <c r="F47" s="8"/>
      <c r="G47" s="6"/>
    </row>
    <row r="48" spans="1:7">
      <c r="D48" s="7"/>
      <c r="E48" s="8"/>
      <c r="F48" s="8"/>
      <c r="G48" s="6"/>
    </row>
    <row r="49" spans="4:7">
      <c r="D49" s="7"/>
      <c r="E49" s="8"/>
      <c r="F49" s="8"/>
      <c r="G49" s="6"/>
    </row>
    <row r="50" spans="4:7">
      <c r="D50" s="7"/>
      <c r="E50" s="8"/>
      <c r="F50" s="8"/>
      <c r="G50" s="6"/>
    </row>
  </sheetData>
  <mergeCells count="13">
    <mergeCell ref="A5:L5"/>
    <mergeCell ref="C6:E6"/>
    <mergeCell ref="A11:G11"/>
    <mergeCell ref="C7:E7"/>
    <mergeCell ref="A4:L4"/>
    <mergeCell ref="A12:G12"/>
    <mergeCell ref="H12:L12"/>
    <mergeCell ref="A8:G8"/>
    <mergeCell ref="H8:L8"/>
    <mergeCell ref="A9:G9"/>
    <mergeCell ref="H9:L9"/>
    <mergeCell ref="A10:G10"/>
    <mergeCell ref="H10:L10"/>
  </mergeCells>
  <phoneticPr fontId="2" type="noConversion"/>
  <pageMargins left="0.23622047244094488" right="0.23622047244094488" top="0.51181102362204722" bottom="0.51181102362204722" header="0" footer="0"/>
  <pageSetup paperSize="9" scale="5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3"/>
  <sheetViews>
    <sheetView zoomScale="70" zoomScaleNormal="70" workbookViewId="0">
      <pane ySplit="3" topLeftCell="A4" activePane="bottomLeft" state="frozen"/>
      <selection activeCell="A4" sqref="A4:L4"/>
      <selection pane="bottomLeft" activeCell="C40" sqref="C40"/>
    </sheetView>
  </sheetViews>
  <sheetFormatPr defaultColWidth="8.875" defaultRowHeight="15.75"/>
  <cols>
    <col min="1" max="12" width="15.875" style="9" customWidth="1"/>
    <col min="13" max="16384" width="8.875" style="9"/>
  </cols>
  <sheetData>
    <row r="1" spans="1:12" s="20" customFormat="1" ht="30" customHeight="1">
      <c r="A1" s="63" t="s">
        <v>26</v>
      </c>
      <c r="B1" s="64" t="s">
        <v>4</v>
      </c>
      <c r="C1" s="64" t="s">
        <v>8</v>
      </c>
      <c r="D1" s="64" t="s">
        <v>7</v>
      </c>
      <c r="E1" s="64" t="s">
        <v>22</v>
      </c>
      <c r="F1" s="64" t="s">
        <v>9</v>
      </c>
      <c r="G1" s="16" t="s">
        <v>23</v>
      </c>
      <c r="H1" s="17" t="s">
        <v>24</v>
      </c>
      <c r="I1" s="19" t="s">
        <v>5</v>
      </c>
    </row>
    <row r="2" spans="1:12" ht="30" customHeight="1" thickBot="1">
      <c r="A2" s="33" t="s">
        <v>54</v>
      </c>
      <c r="B2" s="29">
        <v>45579</v>
      </c>
      <c r="C2" s="68" t="s">
        <v>60</v>
      </c>
      <c r="D2" s="30">
        <v>78</v>
      </c>
      <c r="E2" s="2">
        <f>C2/365*D2</f>
        <v>7265.7534246575342</v>
      </c>
      <c r="F2" s="2" t="s">
        <v>52</v>
      </c>
      <c r="G2" s="2">
        <v>2000</v>
      </c>
      <c r="H2" s="2">
        <v>3000</v>
      </c>
      <c r="I2" s="3">
        <f>SUM(E2:H2)</f>
        <v>12265.753424657534</v>
      </c>
    </row>
    <row r="3" spans="1:12" ht="30" customHeight="1" thickBot="1">
      <c r="A3" s="7"/>
      <c r="B3" s="7"/>
      <c r="C3" s="7"/>
      <c r="D3" s="8"/>
      <c r="E3" s="7"/>
      <c r="F3" s="8"/>
      <c r="G3" s="8"/>
      <c r="H3" s="6"/>
    </row>
    <row r="4" spans="1:12" ht="30" customHeight="1" thickBot="1">
      <c r="A4" s="262" t="s">
        <v>209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4"/>
    </row>
    <row r="5" spans="1:12" ht="30" customHeight="1">
      <c r="A5" s="252" t="s">
        <v>62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4"/>
    </row>
    <row r="6" spans="1:12" ht="30" customHeight="1" thickBot="1">
      <c r="A6" s="136" t="s">
        <v>15</v>
      </c>
      <c r="B6" s="137" t="s">
        <v>16</v>
      </c>
      <c r="C6" s="279" t="s">
        <v>17</v>
      </c>
      <c r="D6" s="280"/>
      <c r="E6" s="281"/>
      <c r="F6" s="137" t="s">
        <v>18</v>
      </c>
      <c r="G6" s="137" t="s">
        <v>19</v>
      </c>
      <c r="H6" s="137" t="s">
        <v>20</v>
      </c>
      <c r="I6" s="138" t="s">
        <v>39</v>
      </c>
      <c r="J6" s="138" t="s">
        <v>21</v>
      </c>
      <c r="K6" s="138" t="s">
        <v>43</v>
      </c>
      <c r="L6" s="139" t="s">
        <v>48</v>
      </c>
    </row>
    <row r="7" spans="1:12" ht="30" customHeight="1">
      <c r="A7" s="271" t="s">
        <v>152</v>
      </c>
      <c r="B7" s="269" t="s">
        <v>148</v>
      </c>
      <c r="C7" s="282" t="s">
        <v>97</v>
      </c>
      <c r="D7" s="282"/>
      <c r="E7" s="282"/>
      <c r="F7" s="106">
        <v>45975</v>
      </c>
      <c r="G7" s="107" t="s">
        <v>133</v>
      </c>
      <c r="H7" s="150">
        <v>9541</v>
      </c>
      <c r="I7" s="141">
        <v>160</v>
      </c>
      <c r="J7" s="141">
        <v>267</v>
      </c>
      <c r="K7" s="142">
        <v>534</v>
      </c>
      <c r="L7" s="62"/>
    </row>
    <row r="8" spans="1:12" ht="30" customHeight="1" thickBot="1">
      <c r="A8" s="272"/>
      <c r="B8" s="270"/>
      <c r="C8" s="283" t="s">
        <v>98</v>
      </c>
      <c r="D8" s="283"/>
      <c r="E8" s="283"/>
      <c r="F8" s="153" t="s">
        <v>134</v>
      </c>
      <c r="G8" s="154" t="s">
        <v>133</v>
      </c>
      <c r="H8" s="45">
        <v>116321</v>
      </c>
      <c r="I8" s="44">
        <v>774</v>
      </c>
      <c r="J8" s="44">
        <v>1290</v>
      </c>
      <c r="K8" s="155">
        <v>2581</v>
      </c>
      <c r="L8" s="156"/>
    </row>
    <row r="9" spans="1:12" ht="30" customHeight="1" thickBot="1">
      <c r="A9" s="273" t="s">
        <v>153</v>
      </c>
      <c r="B9" s="274"/>
      <c r="C9" s="274"/>
      <c r="D9" s="274"/>
      <c r="E9" s="274"/>
      <c r="F9" s="274"/>
      <c r="G9" s="275"/>
      <c r="H9" s="276">
        <f>SUM(H7:H8)*0.5</f>
        <v>62931</v>
      </c>
      <c r="I9" s="277"/>
      <c r="J9" s="277"/>
      <c r="K9" s="277"/>
      <c r="L9" s="278"/>
    </row>
    <row r="10" spans="1:12" ht="30" customHeight="1" thickBot="1">
      <c r="A10" s="53" t="s">
        <v>150</v>
      </c>
      <c r="B10" s="113" t="s">
        <v>150</v>
      </c>
      <c r="C10" s="261" t="s">
        <v>110</v>
      </c>
      <c r="D10" s="261"/>
      <c r="E10" s="261"/>
      <c r="F10" s="148">
        <v>46014</v>
      </c>
      <c r="G10" s="149" t="s">
        <v>132</v>
      </c>
      <c r="H10" s="54">
        <v>323810</v>
      </c>
      <c r="I10" s="146">
        <v>3421</v>
      </c>
      <c r="J10" s="146">
        <v>5702</v>
      </c>
      <c r="K10" s="147">
        <v>11403</v>
      </c>
      <c r="L10" s="61"/>
    </row>
    <row r="11" spans="1:12" ht="30" customHeight="1">
      <c r="A11" s="265" t="s">
        <v>65</v>
      </c>
      <c r="B11" s="266"/>
      <c r="C11" s="266"/>
      <c r="D11" s="266"/>
      <c r="E11" s="266"/>
      <c r="F11" s="266"/>
      <c r="G11" s="266"/>
      <c r="H11" s="267">
        <f>H10</f>
        <v>323810</v>
      </c>
      <c r="I11" s="267"/>
      <c r="J11" s="267"/>
      <c r="K11" s="267"/>
      <c r="L11" s="268"/>
    </row>
    <row r="12" spans="1:12" ht="30" customHeight="1">
      <c r="A12" s="248" t="s">
        <v>44</v>
      </c>
      <c r="B12" s="249"/>
      <c r="C12" s="249"/>
      <c r="D12" s="249"/>
      <c r="E12" s="249"/>
      <c r="F12" s="249"/>
      <c r="G12" s="249"/>
      <c r="H12" s="250">
        <f>H9+H11</f>
        <v>386741</v>
      </c>
      <c r="I12" s="250"/>
      <c r="J12" s="250"/>
      <c r="K12" s="250"/>
      <c r="L12" s="251"/>
    </row>
    <row r="13" spans="1:12" ht="30" customHeight="1">
      <c r="A13" s="248" t="s">
        <v>45</v>
      </c>
      <c r="B13" s="249"/>
      <c r="C13" s="249"/>
      <c r="D13" s="249"/>
      <c r="E13" s="249"/>
      <c r="F13" s="249"/>
      <c r="G13" s="249"/>
      <c r="H13" s="250">
        <v>0</v>
      </c>
      <c r="I13" s="250"/>
      <c r="J13" s="250"/>
      <c r="K13" s="250"/>
      <c r="L13" s="251"/>
    </row>
    <row r="14" spans="1:12" ht="30" customHeight="1">
      <c r="A14" s="258" t="s">
        <v>68</v>
      </c>
      <c r="B14" s="259"/>
      <c r="C14" s="259"/>
      <c r="D14" s="259"/>
      <c r="E14" s="259"/>
      <c r="F14" s="259"/>
      <c r="G14" s="260"/>
      <c r="H14" s="14">
        <f>H13</f>
        <v>0</v>
      </c>
      <c r="I14" s="14">
        <f t="shared" ref="I14:J14" si="0">SUM(I7:I10)</f>
        <v>4355</v>
      </c>
      <c r="J14" s="14">
        <f t="shared" si="0"/>
        <v>7259</v>
      </c>
      <c r="K14" s="14">
        <f>SUM(K7:K10)</f>
        <v>14518</v>
      </c>
      <c r="L14" s="38">
        <f>SUM(L7:L10)</f>
        <v>0</v>
      </c>
    </row>
    <row r="15" spans="1:12" ht="30" customHeight="1" thickBot="1">
      <c r="A15" s="238" t="s">
        <v>27</v>
      </c>
      <c r="B15" s="239"/>
      <c r="C15" s="239"/>
      <c r="D15" s="239"/>
      <c r="E15" s="239"/>
      <c r="F15" s="239"/>
      <c r="G15" s="240"/>
      <c r="H15" s="241">
        <f>SUM(H14:L14)</f>
        <v>26132</v>
      </c>
      <c r="I15" s="242"/>
      <c r="J15" s="242"/>
      <c r="K15" s="242"/>
      <c r="L15" s="243"/>
    </row>
    <row r="16" spans="1:12" ht="21">
      <c r="A16" s="65"/>
      <c r="B16" s="7"/>
      <c r="C16" s="7"/>
      <c r="D16" s="8"/>
      <c r="E16" s="7"/>
      <c r="F16" s="8"/>
      <c r="G16" s="8"/>
      <c r="H16" s="6"/>
    </row>
    <row r="17" spans="1:12" ht="21">
      <c r="A17" s="65" t="s">
        <v>31</v>
      </c>
      <c r="B17" s="7"/>
      <c r="C17" s="7"/>
      <c r="D17" s="8"/>
      <c r="E17" s="7"/>
      <c r="F17" s="8"/>
      <c r="G17" s="8"/>
      <c r="H17" s="6"/>
    </row>
    <row r="18" spans="1:12" ht="21">
      <c r="A18" s="65" t="s">
        <v>35</v>
      </c>
      <c r="B18" s="7"/>
      <c r="C18" s="7"/>
      <c r="D18" s="8"/>
      <c r="E18" s="7"/>
      <c r="F18" s="8"/>
      <c r="G18" s="8"/>
      <c r="H18" s="6"/>
    </row>
    <row r="19" spans="1:12" ht="21.75" thickBot="1">
      <c r="A19" s="65" t="s">
        <v>33</v>
      </c>
      <c r="B19" s="7"/>
      <c r="C19" s="7"/>
      <c r="D19" s="8"/>
      <c r="E19" s="7"/>
      <c r="I19" s="4" t="s">
        <v>10</v>
      </c>
      <c r="J19" s="5"/>
      <c r="K19" s="5"/>
      <c r="L19" s="5"/>
    </row>
    <row r="20" spans="1:12">
      <c r="A20" s="7"/>
      <c r="B20" s="7"/>
      <c r="C20" s="7"/>
      <c r="D20" s="8"/>
      <c r="E20" s="7"/>
      <c r="F20" s="8"/>
      <c r="G20" s="8"/>
      <c r="H20" s="6"/>
    </row>
    <row r="21" spans="1:12">
      <c r="A21" s="7"/>
      <c r="B21" s="7"/>
      <c r="C21" s="7"/>
      <c r="D21" s="8"/>
      <c r="E21" s="7"/>
    </row>
    <row r="22" spans="1:12">
      <c r="A22" s="7"/>
      <c r="B22" s="7"/>
      <c r="C22" s="7"/>
      <c r="D22" s="8"/>
      <c r="E22" s="7"/>
      <c r="F22" s="8"/>
      <c r="G22" s="8"/>
      <c r="H22" s="6"/>
    </row>
    <row r="23" spans="1:12">
      <c r="A23" s="7"/>
      <c r="B23" s="7"/>
      <c r="C23" s="7"/>
      <c r="D23" s="8"/>
      <c r="E23" s="7"/>
      <c r="F23" s="8"/>
      <c r="G23" s="8"/>
      <c r="H23" s="6"/>
    </row>
    <row r="24" spans="1:12">
      <c r="A24" s="7"/>
      <c r="B24" s="7"/>
      <c r="C24" s="7"/>
      <c r="D24" s="8"/>
      <c r="E24" s="7"/>
      <c r="F24" s="8"/>
      <c r="G24" s="8"/>
      <c r="H24" s="6"/>
    </row>
    <row r="25" spans="1:12">
      <c r="A25" s="7"/>
      <c r="B25" s="7"/>
      <c r="C25" s="7"/>
      <c r="D25" s="8"/>
      <c r="E25" s="7"/>
      <c r="F25" s="8"/>
      <c r="G25" s="8"/>
      <c r="H25" s="6"/>
    </row>
    <row r="26" spans="1:12">
      <c r="A26" s="7"/>
      <c r="B26" s="7"/>
      <c r="C26" s="7"/>
      <c r="D26" s="8"/>
      <c r="E26" s="7"/>
      <c r="F26" s="8"/>
      <c r="G26" s="8"/>
      <c r="H26" s="6"/>
    </row>
    <row r="27" spans="1:12">
      <c r="A27" s="7"/>
      <c r="B27" s="7"/>
      <c r="C27" s="7"/>
      <c r="D27" s="8"/>
      <c r="E27" s="7"/>
      <c r="F27" s="8"/>
      <c r="G27" s="8"/>
      <c r="H27" s="6"/>
    </row>
    <row r="28" spans="1:12">
      <c r="A28" s="7"/>
      <c r="B28" s="7"/>
      <c r="C28" s="7"/>
      <c r="D28" s="8"/>
      <c r="E28" s="7"/>
      <c r="F28" s="8"/>
      <c r="G28" s="8"/>
      <c r="H28" s="6"/>
    </row>
    <row r="29" spans="1:12">
      <c r="A29" s="7"/>
      <c r="B29" s="7"/>
      <c r="C29" s="7"/>
      <c r="D29" s="8"/>
      <c r="E29" s="7"/>
      <c r="F29" s="8"/>
      <c r="G29" s="8"/>
      <c r="H29" s="6"/>
    </row>
    <row r="30" spans="1:12">
      <c r="A30" s="7"/>
      <c r="B30" s="7"/>
      <c r="C30" s="7"/>
      <c r="D30" s="8"/>
      <c r="E30" s="7"/>
      <c r="F30" s="8"/>
      <c r="G30" s="8"/>
      <c r="H30" s="6"/>
    </row>
    <row r="31" spans="1:12">
      <c r="A31" s="7"/>
      <c r="B31" s="7"/>
      <c r="C31" s="7"/>
      <c r="D31" s="8"/>
      <c r="E31" s="7"/>
      <c r="F31" s="8"/>
      <c r="G31" s="8"/>
      <c r="H31" s="6"/>
    </row>
    <row r="32" spans="1:12">
      <c r="A32" s="7"/>
      <c r="B32" s="7"/>
      <c r="C32" s="7"/>
      <c r="D32" s="8"/>
      <c r="E32" s="7"/>
      <c r="F32" s="8"/>
      <c r="G32" s="8"/>
      <c r="H32" s="6"/>
    </row>
    <row r="33" spans="1:7">
      <c r="A33" s="7"/>
      <c r="B33" s="7"/>
      <c r="C33" s="7"/>
      <c r="D33" s="7"/>
      <c r="E33" s="8"/>
      <c r="F33" s="8"/>
      <c r="G33" s="6"/>
    </row>
    <row r="34" spans="1:7">
      <c r="A34" s="7"/>
      <c r="B34" s="7"/>
      <c r="C34" s="7"/>
      <c r="D34" s="7"/>
      <c r="E34" s="8"/>
      <c r="F34" s="8"/>
      <c r="G34" s="6"/>
    </row>
    <row r="35" spans="1:7">
      <c r="A35" s="7"/>
      <c r="B35" s="7"/>
      <c r="C35" s="7"/>
      <c r="D35" s="7"/>
      <c r="E35" s="8"/>
      <c r="F35" s="8"/>
      <c r="G35" s="6"/>
    </row>
    <row r="36" spans="1:7">
      <c r="A36" s="7"/>
      <c r="B36" s="7"/>
      <c r="C36" s="7"/>
      <c r="D36" s="7"/>
      <c r="E36" s="8"/>
      <c r="F36" s="8"/>
      <c r="G36" s="6"/>
    </row>
    <row r="37" spans="1:7">
      <c r="A37" s="7"/>
      <c r="B37" s="7"/>
      <c r="C37" s="7"/>
      <c r="D37" s="7"/>
      <c r="E37" s="8"/>
      <c r="F37" s="8"/>
      <c r="G37" s="6"/>
    </row>
    <row r="38" spans="1:7">
      <c r="A38" s="7"/>
      <c r="B38" s="7"/>
      <c r="C38" s="7"/>
      <c r="D38" s="7"/>
      <c r="E38" s="8"/>
      <c r="F38" s="8"/>
      <c r="G38" s="6"/>
    </row>
    <row r="39" spans="1:7">
      <c r="A39" s="7"/>
      <c r="B39" s="7"/>
      <c r="C39" s="7"/>
      <c r="D39" s="7"/>
      <c r="E39" s="8"/>
      <c r="F39" s="8"/>
      <c r="G39" s="6"/>
    </row>
    <row r="40" spans="1:7">
      <c r="A40" s="7"/>
      <c r="B40" s="7"/>
      <c r="C40" s="7"/>
      <c r="D40" s="7"/>
      <c r="E40" s="8"/>
      <c r="F40" s="8"/>
      <c r="G40" s="6"/>
    </row>
    <row r="41" spans="1:7">
      <c r="A41" s="7"/>
      <c r="B41" s="7"/>
      <c r="C41" s="7"/>
      <c r="D41" s="7"/>
      <c r="E41" s="8"/>
      <c r="F41" s="8"/>
      <c r="G41" s="6"/>
    </row>
    <row r="42" spans="1:7">
      <c r="D42" s="7"/>
      <c r="E42" s="8"/>
      <c r="F42" s="8"/>
      <c r="G42" s="6"/>
    </row>
    <row r="43" spans="1:7">
      <c r="D43" s="7"/>
      <c r="E43" s="8"/>
      <c r="F43" s="8"/>
      <c r="G43" s="6"/>
    </row>
    <row r="44" spans="1:7">
      <c r="D44" s="7"/>
      <c r="E44" s="8"/>
      <c r="F44" s="8"/>
      <c r="G44" s="6"/>
    </row>
    <row r="45" spans="1:7">
      <c r="D45" s="7"/>
      <c r="E45" s="8"/>
      <c r="F45" s="8"/>
      <c r="G45" s="6"/>
    </row>
    <row r="46" spans="1:7">
      <c r="D46" s="7"/>
      <c r="E46" s="8"/>
      <c r="F46" s="8"/>
      <c r="G46" s="6"/>
    </row>
    <row r="47" spans="1:7">
      <c r="D47" s="7"/>
      <c r="E47" s="8"/>
      <c r="F47" s="8"/>
      <c r="G47" s="6"/>
    </row>
    <row r="48" spans="1:7">
      <c r="D48" s="7"/>
      <c r="E48" s="8"/>
      <c r="F48" s="8"/>
      <c r="G48" s="6"/>
    </row>
    <row r="49" spans="4:7">
      <c r="D49" s="7"/>
      <c r="E49" s="8"/>
      <c r="F49" s="8"/>
      <c r="G49" s="6"/>
    </row>
    <row r="50" spans="4:7">
      <c r="D50" s="7"/>
      <c r="E50" s="8"/>
      <c r="F50" s="8"/>
      <c r="G50" s="6"/>
    </row>
    <row r="51" spans="4:7">
      <c r="D51" s="7"/>
      <c r="E51" s="8"/>
      <c r="F51" s="8"/>
      <c r="G51" s="6"/>
    </row>
    <row r="52" spans="4:7">
      <c r="D52" s="7"/>
      <c r="E52" s="8"/>
      <c r="F52" s="8"/>
      <c r="G52" s="6"/>
    </row>
    <row r="53" spans="4:7">
      <c r="D53" s="7"/>
      <c r="E53" s="8"/>
      <c r="F53" s="8"/>
      <c r="G53" s="6"/>
    </row>
  </sheetData>
  <mergeCells count="19">
    <mergeCell ref="A4:L4"/>
    <mergeCell ref="A5:L5"/>
    <mergeCell ref="C6:E6"/>
    <mergeCell ref="C7:E7"/>
    <mergeCell ref="C8:E8"/>
    <mergeCell ref="C10:E10"/>
    <mergeCell ref="B7:B8"/>
    <mergeCell ref="A7:A8"/>
    <mergeCell ref="A9:G9"/>
    <mergeCell ref="H9:L9"/>
    <mergeCell ref="A14:G14"/>
    <mergeCell ref="A15:G15"/>
    <mergeCell ref="H15:L15"/>
    <mergeCell ref="A11:G11"/>
    <mergeCell ref="H11:L11"/>
    <mergeCell ref="A12:G12"/>
    <mergeCell ref="H12:L12"/>
    <mergeCell ref="A13:G13"/>
    <mergeCell ref="H13:L13"/>
  </mergeCells>
  <phoneticPr fontId="2" type="noConversion"/>
  <pageMargins left="0.23622047244094488" right="0.23622047244094488" top="0.51181102362204722" bottom="0.51181102362204722" header="0" footer="0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zoomScale="70" zoomScaleNormal="70" workbookViewId="0">
      <pane ySplit="3" topLeftCell="A4" activePane="bottomLeft" state="frozen"/>
      <selection activeCell="A4" sqref="A4:L4"/>
      <selection pane="bottomLeft" activeCell="D19" sqref="D19"/>
    </sheetView>
  </sheetViews>
  <sheetFormatPr defaultColWidth="8.875" defaultRowHeight="15.75"/>
  <cols>
    <col min="1" max="12" width="15.875" style="9" customWidth="1"/>
    <col min="13" max="16384" width="8.875" style="9"/>
  </cols>
  <sheetData>
    <row r="1" spans="1:12" s="20" customFormat="1" ht="30" customHeight="1">
      <c r="A1" s="63" t="s">
        <v>26</v>
      </c>
      <c r="B1" s="64" t="s">
        <v>4</v>
      </c>
      <c r="C1" s="64" t="s">
        <v>8</v>
      </c>
      <c r="D1" s="64" t="s">
        <v>7</v>
      </c>
      <c r="E1" s="64" t="s">
        <v>22</v>
      </c>
      <c r="F1" s="64" t="s">
        <v>9</v>
      </c>
      <c r="G1" s="16" t="s">
        <v>23</v>
      </c>
      <c r="H1" s="17" t="s">
        <v>24</v>
      </c>
      <c r="I1" s="19" t="s">
        <v>5</v>
      </c>
    </row>
    <row r="2" spans="1:12" ht="30" customHeight="1" thickBot="1">
      <c r="A2" s="33" t="s">
        <v>55</v>
      </c>
      <c r="B2" s="67" t="s">
        <v>58</v>
      </c>
      <c r="C2" s="68" t="s">
        <v>61</v>
      </c>
      <c r="D2" s="30">
        <v>50</v>
      </c>
      <c r="E2" s="2">
        <f>C2/365*D2</f>
        <v>5890.41095890411</v>
      </c>
      <c r="F2" s="2" t="s">
        <v>52</v>
      </c>
      <c r="G2" s="2" t="s">
        <v>30</v>
      </c>
      <c r="H2" s="2" t="s">
        <v>208</v>
      </c>
      <c r="I2" s="3">
        <f>SUM(E2:H2)</f>
        <v>5890.41095890411</v>
      </c>
    </row>
    <row r="3" spans="1:12" ht="30" customHeight="1" thickBot="1">
      <c r="A3" s="7"/>
      <c r="B3" s="7"/>
      <c r="C3" s="7"/>
      <c r="D3" s="8"/>
      <c r="E3" s="7"/>
      <c r="F3" s="8"/>
      <c r="G3" s="8"/>
      <c r="H3" s="6"/>
    </row>
    <row r="4" spans="1:12" ht="30" customHeight="1" thickBot="1">
      <c r="A4" s="262" t="s">
        <v>209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4"/>
    </row>
    <row r="5" spans="1:12" ht="30" customHeight="1">
      <c r="A5" s="252" t="s">
        <v>62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4"/>
    </row>
    <row r="6" spans="1:12" ht="30" customHeight="1" thickBot="1">
      <c r="A6" s="136" t="s">
        <v>15</v>
      </c>
      <c r="B6" s="137" t="s">
        <v>16</v>
      </c>
      <c r="C6" s="279" t="s">
        <v>17</v>
      </c>
      <c r="D6" s="280"/>
      <c r="E6" s="281"/>
      <c r="F6" s="137" t="s">
        <v>18</v>
      </c>
      <c r="G6" s="137" t="s">
        <v>19</v>
      </c>
      <c r="H6" s="137" t="s">
        <v>20</v>
      </c>
      <c r="I6" s="138" t="s">
        <v>39</v>
      </c>
      <c r="J6" s="138" t="s">
        <v>21</v>
      </c>
      <c r="K6" s="138" t="s">
        <v>43</v>
      </c>
      <c r="L6" s="139" t="s">
        <v>48</v>
      </c>
    </row>
    <row r="7" spans="1:12" ht="30" customHeight="1" thickBot="1">
      <c r="A7" s="53" t="s">
        <v>147</v>
      </c>
      <c r="B7" s="105" t="s">
        <v>148</v>
      </c>
      <c r="C7" s="282" t="s">
        <v>143</v>
      </c>
      <c r="D7" s="282"/>
      <c r="E7" s="282"/>
      <c r="F7" s="106" t="s">
        <v>144</v>
      </c>
      <c r="G7" s="107" t="s">
        <v>145</v>
      </c>
      <c r="H7" s="54">
        <v>4283508</v>
      </c>
      <c r="I7" s="146">
        <v>14750</v>
      </c>
      <c r="J7" s="146">
        <v>24584</v>
      </c>
      <c r="K7" s="147">
        <v>49168</v>
      </c>
      <c r="L7" s="61"/>
    </row>
    <row r="8" spans="1:12" ht="30" customHeight="1" thickBot="1">
      <c r="A8" s="53" t="s">
        <v>150</v>
      </c>
      <c r="B8" s="113" t="s">
        <v>149</v>
      </c>
      <c r="C8" s="261" t="s">
        <v>110</v>
      </c>
      <c r="D8" s="261"/>
      <c r="E8" s="261"/>
      <c r="F8" s="148">
        <v>46014</v>
      </c>
      <c r="G8" s="149" t="s">
        <v>132</v>
      </c>
      <c r="H8" s="54">
        <v>323810</v>
      </c>
      <c r="I8" s="146">
        <v>3421</v>
      </c>
      <c r="J8" s="146">
        <v>5702</v>
      </c>
      <c r="K8" s="147">
        <v>11403</v>
      </c>
      <c r="L8" s="61"/>
    </row>
    <row r="9" spans="1:12" ht="30" customHeight="1">
      <c r="A9" s="265" t="s">
        <v>66</v>
      </c>
      <c r="B9" s="266"/>
      <c r="C9" s="266"/>
      <c r="D9" s="266"/>
      <c r="E9" s="266"/>
      <c r="F9" s="266"/>
      <c r="G9" s="266"/>
      <c r="H9" s="267">
        <v>0</v>
      </c>
      <c r="I9" s="267"/>
      <c r="J9" s="267"/>
      <c r="K9" s="267"/>
      <c r="L9" s="268"/>
    </row>
    <row r="10" spans="1:12" ht="30" customHeight="1">
      <c r="A10" s="248" t="s">
        <v>44</v>
      </c>
      <c r="B10" s="249"/>
      <c r="C10" s="249"/>
      <c r="D10" s="249"/>
      <c r="E10" s="249"/>
      <c r="F10" s="249"/>
      <c r="G10" s="249"/>
      <c r="H10" s="250">
        <f>SUM(H7:H8)</f>
        <v>4607318</v>
      </c>
      <c r="I10" s="250"/>
      <c r="J10" s="250"/>
      <c r="K10" s="250"/>
      <c r="L10" s="251"/>
    </row>
    <row r="11" spans="1:12" ht="30" customHeight="1">
      <c r="A11" s="248" t="s">
        <v>45</v>
      </c>
      <c r="B11" s="249"/>
      <c r="C11" s="249"/>
      <c r="D11" s="249"/>
      <c r="E11" s="249"/>
      <c r="F11" s="249"/>
      <c r="G11" s="249"/>
      <c r="H11" s="250">
        <v>0</v>
      </c>
      <c r="I11" s="250"/>
      <c r="J11" s="250"/>
      <c r="K11" s="250"/>
      <c r="L11" s="251"/>
    </row>
    <row r="12" spans="1:12" ht="30" customHeight="1">
      <c r="A12" s="258" t="s">
        <v>67</v>
      </c>
      <c r="B12" s="259"/>
      <c r="C12" s="259"/>
      <c r="D12" s="259"/>
      <c r="E12" s="259"/>
      <c r="F12" s="259"/>
      <c r="G12" s="260"/>
      <c r="H12" s="14">
        <f>H11</f>
        <v>0</v>
      </c>
      <c r="I12" s="14">
        <f>SUM(I7:I8)</f>
        <v>18171</v>
      </c>
      <c r="J12" s="14">
        <f>SUM(J7:J8)</f>
        <v>30286</v>
      </c>
      <c r="K12" s="14">
        <f>SUM(K7:K8)</f>
        <v>60571</v>
      </c>
      <c r="L12" s="38">
        <f>SUM(L7:L8)</f>
        <v>0</v>
      </c>
    </row>
    <row r="13" spans="1:12" ht="30" customHeight="1" thickBot="1">
      <c r="A13" s="238" t="s">
        <v>27</v>
      </c>
      <c r="B13" s="239"/>
      <c r="C13" s="239"/>
      <c r="D13" s="239"/>
      <c r="E13" s="239"/>
      <c r="F13" s="239"/>
      <c r="G13" s="240"/>
      <c r="H13" s="241">
        <f>SUM(H12:L12)</f>
        <v>109028</v>
      </c>
      <c r="I13" s="242"/>
      <c r="J13" s="242"/>
      <c r="K13" s="242"/>
      <c r="L13" s="243"/>
    </row>
    <row r="14" spans="1:12" ht="21">
      <c r="A14" s="65"/>
      <c r="B14" s="7"/>
      <c r="C14" s="7"/>
      <c r="D14" s="8"/>
      <c r="E14" s="7"/>
      <c r="F14" s="8"/>
      <c r="G14" s="8"/>
      <c r="H14" s="6"/>
    </row>
    <row r="15" spans="1:12" ht="21">
      <c r="A15" s="65" t="s">
        <v>31</v>
      </c>
      <c r="B15" s="7"/>
      <c r="C15" s="7"/>
      <c r="D15" s="8"/>
      <c r="E15" s="7"/>
      <c r="F15" s="8"/>
      <c r="G15" s="8"/>
      <c r="H15" s="6"/>
    </row>
    <row r="16" spans="1:12" ht="21">
      <c r="A16" s="65" t="s">
        <v>35</v>
      </c>
      <c r="B16" s="7"/>
      <c r="C16" s="7"/>
      <c r="D16" s="8"/>
      <c r="E16" s="7"/>
      <c r="F16" s="8"/>
      <c r="G16" s="8"/>
      <c r="H16" s="6"/>
    </row>
    <row r="17" spans="1:12" ht="21.75" thickBot="1">
      <c r="A17" s="65" t="s">
        <v>33</v>
      </c>
      <c r="B17" s="7"/>
      <c r="C17" s="7"/>
      <c r="D17" s="8"/>
      <c r="E17" s="7"/>
      <c r="I17" s="4" t="s">
        <v>10</v>
      </c>
      <c r="J17" s="5"/>
      <c r="K17" s="5"/>
      <c r="L17" s="5"/>
    </row>
    <row r="18" spans="1:12">
      <c r="A18" s="7"/>
      <c r="B18" s="7"/>
      <c r="C18" s="7"/>
      <c r="D18" s="8"/>
      <c r="E18" s="7"/>
      <c r="F18" s="8"/>
      <c r="G18" s="8"/>
      <c r="H18" s="6"/>
    </row>
    <row r="19" spans="1:12">
      <c r="A19" s="7"/>
      <c r="B19" s="7"/>
      <c r="C19" s="7"/>
      <c r="D19" s="8"/>
      <c r="E19" s="7"/>
    </row>
    <row r="20" spans="1:12">
      <c r="A20" s="7"/>
      <c r="B20" s="7"/>
      <c r="C20" s="7"/>
      <c r="D20" s="8"/>
      <c r="E20" s="7"/>
      <c r="F20" s="8"/>
      <c r="G20" s="8"/>
      <c r="H20" s="6"/>
    </row>
    <row r="21" spans="1:12">
      <c r="A21" s="7"/>
      <c r="B21" s="7"/>
      <c r="C21" s="7"/>
      <c r="D21" s="8"/>
      <c r="E21" s="7"/>
      <c r="F21" s="8"/>
      <c r="G21" s="8"/>
      <c r="H21" s="6"/>
    </row>
    <row r="22" spans="1:12">
      <c r="A22" s="7"/>
      <c r="B22" s="7"/>
      <c r="C22" s="7"/>
      <c r="D22" s="8"/>
      <c r="E22" s="7"/>
      <c r="F22" s="8"/>
      <c r="G22" s="8"/>
      <c r="H22" s="6"/>
    </row>
    <row r="23" spans="1:12">
      <c r="A23" s="7"/>
      <c r="B23" s="7"/>
      <c r="C23" s="7"/>
      <c r="D23" s="8"/>
      <c r="E23" s="7"/>
      <c r="F23" s="8"/>
      <c r="G23" s="8"/>
      <c r="H23" s="6"/>
    </row>
    <row r="24" spans="1:12">
      <c r="A24" s="7"/>
      <c r="B24" s="7"/>
      <c r="C24" s="7"/>
      <c r="D24" s="8"/>
      <c r="E24" s="7"/>
      <c r="F24" s="8"/>
      <c r="G24" s="8"/>
      <c r="H24" s="6"/>
    </row>
    <row r="25" spans="1:12">
      <c r="A25" s="7"/>
      <c r="B25" s="7"/>
      <c r="C25" s="7"/>
      <c r="D25" s="8"/>
      <c r="E25" s="7"/>
      <c r="F25" s="8"/>
      <c r="G25" s="8"/>
      <c r="H25" s="6"/>
    </row>
    <row r="26" spans="1:12">
      <c r="A26" s="7"/>
      <c r="B26" s="7"/>
      <c r="C26" s="7"/>
      <c r="D26" s="8"/>
      <c r="E26" s="7"/>
      <c r="F26" s="8"/>
      <c r="G26" s="8"/>
      <c r="H26" s="6"/>
    </row>
    <row r="27" spans="1:12">
      <c r="A27" s="7"/>
      <c r="B27" s="7"/>
      <c r="C27" s="7"/>
      <c r="D27" s="8"/>
      <c r="E27" s="7"/>
      <c r="F27" s="8"/>
      <c r="G27" s="8"/>
      <c r="H27" s="6"/>
    </row>
    <row r="28" spans="1:12">
      <c r="A28" s="7"/>
      <c r="B28" s="7"/>
      <c r="C28" s="7"/>
      <c r="D28" s="8"/>
      <c r="E28" s="7"/>
      <c r="F28" s="8"/>
      <c r="G28" s="8"/>
      <c r="H28" s="6"/>
    </row>
    <row r="29" spans="1:12">
      <c r="A29" s="7"/>
      <c r="B29" s="7"/>
      <c r="C29" s="7"/>
      <c r="D29" s="8"/>
      <c r="E29" s="7"/>
      <c r="F29" s="8"/>
      <c r="G29" s="8"/>
      <c r="H29" s="6"/>
    </row>
    <row r="30" spans="1:12">
      <c r="A30" s="7"/>
      <c r="B30" s="7"/>
      <c r="C30" s="7"/>
      <c r="D30" s="8"/>
      <c r="E30" s="7"/>
      <c r="F30" s="8"/>
      <c r="G30" s="8"/>
      <c r="H30" s="6"/>
    </row>
    <row r="31" spans="1:12">
      <c r="A31" s="7"/>
      <c r="B31" s="7"/>
      <c r="C31" s="7"/>
      <c r="D31" s="7"/>
      <c r="E31" s="8"/>
      <c r="F31" s="8"/>
      <c r="G31" s="6"/>
    </row>
    <row r="32" spans="1:12">
      <c r="A32" s="7"/>
      <c r="B32" s="7"/>
      <c r="C32" s="7"/>
      <c r="D32" s="7"/>
      <c r="E32" s="8"/>
      <c r="F32" s="8"/>
      <c r="G32" s="6"/>
    </row>
    <row r="33" spans="1:7">
      <c r="A33" s="7"/>
      <c r="B33" s="7"/>
      <c r="C33" s="7"/>
      <c r="D33" s="7"/>
      <c r="E33" s="8"/>
      <c r="F33" s="8"/>
      <c r="G33" s="6"/>
    </row>
    <row r="34" spans="1:7">
      <c r="A34" s="7"/>
      <c r="B34" s="7"/>
      <c r="C34" s="7"/>
      <c r="D34" s="7"/>
      <c r="E34" s="8"/>
      <c r="F34" s="8"/>
      <c r="G34" s="6"/>
    </row>
    <row r="35" spans="1:7">
      <c r="A35" s="7"/>
      <c r="B35" s="7"/>
      <c r="C35" s="7"/>
      <c r="D35" s="7"/>
      <c r="E35" s="8"/>
      <c r="F35" s="8"/>
      <c r="G35" s="6"/>
    </row>
    <row r="36" spans="1:7">
      <c r="A36" s="7"/>
      <c r="B36" s="7"/>
      <c r="C36" s="7"/>
      <c r="D36" s="7"/>
      <c r="E36" s="8"/>
      <c r="F36" s="8"/>
      <c r="G36" s="6"/>
    </row>
    <row r="37" spans="1:7">
      <c r="A37" s="7"/>
      <c r="B37" s="7"/>
      <c r="C37" s="7"/>
      <c r="D37" s="7"/>
      <c r="E37" s="8"/>
      <c r="F37" s="8"/>
      <c r="G37" s="6"/>
    </row>
    <row r="38" spans="1:7">
      <c r="A38" s="7"/>
      <c r="B38" s="7"/>
      <c r="C38" s="7"/>
      <c r="D38" s="7"/>
      <c r="E38" s="8"/>
      <c r="F38" s="8"/>
      <c r="G38" s="6"/>
    </row>
    <row r="39" spans="1:7">
      <c r="A39" s="7"/>
      <c r="B39" s="7"/>
      <c r="C39" s="7"/>
      <c r="D39" s="7"/>
      <c r="E39" s="8"/>
      <c r="F39" s="8"/>
      <c r="G39" s="6"/>
    </row>
    <row r="40" spans="1:7">
      <c r="D40" s="7"/>
      <c r="E40" s="8"/>
      <c r="F40" s="8"/>
      <c r="G40" s="6"/>
    </row>
    <row r="41" spans="1:7">
      <c r="D41" s="7"/>
      <c r="E41" s="8"/>
      <c r="F41" s="8"/>
      <c r="G41" s="6"/>
    </row>
    <row r="42" spans="1:7">
      <c r="D42" s="7"/>
      <c r="E42" s="8"/>
      <c r="F42" s="8"/>
      <c r="G42" s="6"/>
    </row>
    <row r="43" spans="1:7">
      <c r="D43" s="7"/>
      <c r="E43" s="8"/>
      <c r="F43" s="8"/>
      <c r="G43" s="6"/>
    </row>
    <row r="44" spans="1:7">
      <c r="D44" s="7"/>
      <c r="E44" s="8"/>
      <c r="F44" s="8"/>
      <c r="G44" s="6"/>
    </row>
    <row r="45" spans="1:7">
      <c r="D45" s="7"/>
      <c r="E45" s="8"/>
      <c r="F45" s="8"/>
      <c r="G45" s="6"/>
    </row>
    <row r="46" spans="1:7">
      <c r="D46" s="7"/>
      <c r="E46" s="8"/>
      <c r="F46" s="8"/>
      <c r="G46" s="6"/>
    </row>
    <row r="47" spans="1:7">
      <c r="D47" s="7"/>
      <c r="E47" s="8"/>
      <c r="F47" s="8"/>
      <c r="G47" s="6"/>
    </row>
    <row r="48" spans="1:7">
      <c r="D48" s="7"/>
      <c r="E48" s="8"/>
      <c r="F48" s="8"/>
      <c r="G48" s="6"/>
    </row>
    <row r="49" spans="4:7">
      <c r="D49" s="7"/>
      <c r="E49" s="8"/>
      <c r="F49" s="8"/>
      <c r="G49" s="6"/>
    </row>
    <row r="50" spans="4:7">
      <c r="D50" s="7"/>
      <c r="E50" s="8"/>
      <c r="F50" s="8"/>
      <c r="G50" s="6"/>
    </row>
    <row r="51" spans="4:7">
      <c r="D51" s="7"/>
      <c r="E51" s="8"/>
      <c r="F51" s="8"/>
      <c r="G51" s="6"/>
    </row>
  </sheetData>
  <mergeCells count="14">
    <mergeCell ref="C8:E8"/>
    <mergeCell ref="A4:L4"/>
    <mergeCell ref="C6:E6"/>
    <mergeCell ref="C7:E7"/>
    <mergeCell ref="A12:G12"/>
    <mergeCell ref="A5:L5"/>
    <mergeCell ref="A13:G13"/>
    <mergeCell ref="H13:L13"/>
    <mergeCell ref="A9:G9"/>
    <mergeCell ref="H9:L9"/>
    <mergeCell ref="A10:G10"/>
    <mergeCell ref="H10:L10"/>
    <mergeCell ref="A11:G11"/>
    <mergeCell ref="H11:L11"/>
  </mergeCells>
  <phoneticPr fontId="2" type="noConversion"/>
  <pageMargins left="0.23622047244094488" right="0.23622047244094488" top="0.51181102362204722" bottom="0.51181102362204722" header="0" footer="0"/>
  <pageSetup paperSize="9" scale="52" fitToHeight="0" orientation="portrait" r:id="rId1"/>
  <ignoredErrors>
    <ignoredError sqref="H1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zoomScale="70" zoomScaleNormal="70" workbookViewId="0">
      <pane ySplit="5" topLeftCell="A42" activePane="bottomLeft" state="frozen"/>
      <selection pane="bottomLeft" activeCell="N56" sqref="N56"/>
    </sheetView>
  </sheetViews>
  <sheetFormatPr defaultColWidth="8.875" defaultRowHeight="15.75"/>
  <cols>
    <col min="1" max="9" width="15.875" style="9" customWidth="1"/>
    <col min="10" max="12" width="15.875" style="1" customWidth="1"/>
    <col min="13" max="16384" width="8.875" style="1"/>
  </cols>
  <sheetData>
    <row r="1" spans="1:10" s="9" customFormat="1" ht="30" customHeight="1">
      <c r="A1" s="11" t="s">
        <v>26</v>
      </c>
      <c r="B1" s="12" t="s">
        <v>210</v>
      </c>
      <c r="C1" s="12" t="s">
        <v>8</v>
      </c>
      <c r="D1" s="12" t="s">
        <v>7</v>
      </c>
      <c r="E1" s="12" t="s">
        <v>211</v>
      </c>
      <c r="F1" s="16" t="s">
        <v>28</v>
      </c>
      <c r="G1" s="16" t="s">
        <v>212</v>
      </c>
      <c r="H1" s="17" t="s">
        <v>213</v>
      </c>
      <c r="I1" s="10" t="s">
        <v>214</v>
      </c>
    </row>
    <row r="2" spans="1:10" s="9" customFormat="1" ht="30" customHeight="1" thickBot="1">
      <c r="A2" s="31" t="s">
        <v>215</v>
      </c>
      <c r="B2" s="29">
        <v>43577</v>
      </c>
      <c r="C2" s="32">
        <v>40000</v>
      </c>
      <c r="D2" s="30">
        <v>2080</v>
      </c>
      <c r="E2" s="2">
        <v>40000</v>
      </c>
      <c r="F2" s="2">
        <v>63214</v>
      </c>
      <c r="G2" s="2">
        <v>0</v>
      </c>
      <c r="H2" s="2">
        <v>0</v>
      </c>
      <c r="I2" s="3">
        <f>E2+F2+G2+H2</f>
        <v>103214</v>
      </c>
    </row>
    <row r="3" spans="1:10" ht="30" customHeight="1" thickBot="1">
      <c r="H3" s="8"/>
      <c r="I3" s="8"/>
      <c r="J3" s="9"/>
    </row>
    <row r="4" spans="1:10" ht="30" customHeight="1">
      <c r="A4" s="252" t="s">
        <v>62</v>
      </c>
      <c r="B4" s="253"/>
      <c r="C4" s="253"/>
      <c r="D4" s="253"/>
      <c r="E4" s="253"/>
      <c r="F4" s="253"/>
      <c r="G4" s="253"/>
      <c r="H4" s="253"/>
      <c r="I4" s="253"/>
      <c r="J4" s="254"/>
    </row>
    <row r="5" spans="1:10" ht="30" customHeight="1" thickBot="1">
      <c r="A5" s="136" t="s">
        <v>15</v>
      </c>
      <c r="B5" s="137" t="s">
        <v>16</v>
      </c>
      <c r="C5" s="279" t="s">
        <v>17</v>
      </c>
      <c r="D5" s="280"/>
      <c r="E5" s="281"/>
      <c r="F5" s="137" t="s">
        <v>18</v>
      </c>
      <c r="G5" s="137" t="s">
        <v>19</v>
      </c>
      <c r="H5" s="137" t="s">
        <v>20</v>
      </c>
      <c r="I5" s="138" t="s">
        <v>206</v>
      </c>
      <c r="J5" s="139" t="s">
        <v>216</v>
      </c>
    </row>
    <row r="6" spans="1:10" s="9" customFormat="1" ht="30" customHeight="1">
      <c r="A6" s="271" t="s">
        <v>273</v>
      </c>
      <c r="B6" s="184" t="s">
        <v>217</v>
      </c>
      <c r="C6" s="282" t="s">
        <v>81</v>
      </c>
      <c r="D6" s="282"/>
      <c r="E6" s="282"/>
      <c r="F6" s="106">
        <v>45683</v>
      </c>
      <c r="G6" s="107" t="s">
        <v>114</v>
      </c>
      <c r="H6" s="160">
        <v>1476190</v>
      </c>
      <c r="I6" s="160">
        <v>2335</v>
      </c>
      <c r="J6" s="161" t="s">
        <v>218</v>
      </c>
    </row>
    <row r="7" spans="1:10" s="9" customFormat="1" ht="30" customHeight="1">
      <c r="A7" s="303"/>
      <c r="B7" s="179" t="s">
        <v>219</v>
      </c>
      <c r="C7" s="304" t="s">
        <v>177</v>
      </c>
      <c r="D7" s="304"/>
      <c r="E7" s="304"/>
      <c r="F7" s="84">
        <v>46020</v>
      </c>
      <c r="G7" s="85" t="s">
        <v>118</v>
      </c>
      <c r="H7" s="178">
        <v>36850</v>
      </c>
      <c r="I7" s="178">
        <v>38</v>
      </c>
      <c r="J7" s="162" t="s">
        <v>30</v>
      </c>
    </row>
    <row r="8" spans="1:10" s="9" customFormat="1" ht="30" customHeight="1">
      <c r="A8" s="303"/>
      <c r="B8" s="179" t="s">
        <v>220</v>
      </c>
      <c r="C8" s="304" t="s">
        <v>82</v>
      </c>
      <c r="D8" s="304"/>
      <c r="E8" s="304"/>
      <c r="F8" s="84" t="s">
        <v>117</v>
      </c>
      <c r="G8" s="85" t="s">
        <v>116</v>
      </c>
      <c r="H8" s="178">
        <v>7000</v>
      </c>
      <c r="I8" s="178">
        <v>35</v>
      </c>
      <c r="J8" s="162" t="s">
        <v>30</v>
      </c>
    </row>
    <row r="9" spans="1:10" s="9" customFormat="1" ht="30" customHeight="1">
      <c r="A9" s="303"/>
      <c r="B9" s="179" t="s">
        <v>201</v>
      </c>
      <c r="C9" s="304" t="s">
        <v>178</v>
      </c>
      <c r="D9" s="304"/>
      <c r="E9" s="304"/>
      <c r="F9" s="84">
        <v>45674</v>
      </c>
      <c r="G9" s="85" t="s">
        <v>118</v>
      </c>
      <c r="H9" s="186">
        <v>285714</v>
      </c>
      <c r="I9" s="178">
        <v>541</v>
      </c>
      <c r="J9" s="162" t="s">
        <v>30</v>
      </c>
    </row>
    <row r="10" spans="1:10" s="9" customFormat="1" ht="30" customHeight="1">
      <c r="A10" s="303"/>
      <c r="B10" s="179" t="s">
        <v>202</v>
      </c>
      <c r="C10" s="304" t="s">
        <v>83</v>
      </c>
      <c r="D10" s="304"/>
      <c r="E10" s="304"/>
      <c r="F10" s="84">
        <v>45688</v>
      </c>
      <c r="G10" s="85" t="s">
        <v>118</v>
      </c>
      <c r="H10" s="186">
        <v>414286</v>
      </c>
      <c r="I10" s="178">
        <v>730</v>
      </c>
      <c r="J10" s="162" t="s">
        <v>30</v>
      </c>
    </row>
    <row r="11" spans="1:10" s="9" customFormat="1" ht="30" customHeight="1">
      <c r="A11" s="303"/>
      <c r="B11" s="179" t="s">
        <v>221</v>
      </c>
      <c r="C11" s="304" t="s">
        <v>179</v>
      </c>
      <c r="D11" s="304"/>
      <c r="E11" s="304"/>
      <c r="F11" s="84">
        <v>45688</v>
      </c>
      <c r="G11" s="85" t="s">
        <v>0</v>
      </c>
      <c r="H11" s="186">
        <v>37476</v>
      </c>
      <c r="I11" s="178" t="s">
        <v>218</v>
      </c>
      <c r="J11" s="162">
        <v>500</v>
      </c>
    </row>
    <row r="12" spans="1:10" s="9" customFormat="1" ht="30" customHeight="1">
      <c r="A12" s="303"/>
      <c r="B12" s="179" t="s">
        <v>222</v>
      </c>
      <c r="C12" s="304" t="s">
        <v>223</v>
      </c>
      <c r="D12" s="304"/>
      <c r="E12" s="304"/>
      <c r="F12" s="84" t="s">
        <v>121</v>
      </c>
      <c r="G12" s="85" t="s">
        <v>122</v>
      </c>
      <c r="H12" s="186">
        <v>3668571</v>
      </c>
      <c r="I12" s="178">
        <v>2898</v>
      </c>
      <c r="J12" s="162">
        <v>3000</v>
      </c>
    </row>
    <row r="13" spans="1:10" s="9" customFormat="1" ht="30" customHeight="1">
      <c r="A13" s="303"/>
      <c r="B13" s="179" t="s">
        <v>203</v>
      </c>
      <c r="C13" s="304" t="s">
        <v>85</v>
      </c>
      <c r="D13" s="304"/>
      <c r="E13" s="304"/>
      <c r="F13" s="84">
        <v>45694</v>
      </c>
      <c r="G13" s="85" t="s">
        <v>114</v>
      </c>
      <c r="H13" s="186">
        <v>876190</v>
      </c>
      <c r="I13" s="178">
        <v>1262</v>
      </c>
      <c r="J13" s="162" t="s">
        <v>218</v>
      </c>
    </row>
    <row r="14" spans="1:10" s="9" customFormat="1" ht="30" customHeight="1">
      <c r="A14" s="303"/>
      <c r="B14" s="179" t="s">
        <v>204</v>
      </c>
      <c r="C14" s="304" t="s">
        <v>86</v>
      </c>
      <c r="D14" s="304"/>
      <c r="E14" s="304"/>
      <c r="F14" s="84">
        <v>45690</v>
      </c>
      <c r="G14" s="85" t="s">
        <v>118</v>
      </c>
      <c r="H14" s="186">
        <v>409524</v>
      </c>
      <c r="I14" s="178">
        <v>858</v>
      </c>
      <c r="J14" s="162" t="s">
        <v>30</v>
      </c>
    </row>
    <row r="15" spans="1:10" s="9" customFormat="1" ht="30" customHeight="1">
      <c r="A15" s="303"/>
      <c r="B15" s="179" t="s">
        <v>224</v>
      </c>
      <c r="C15" s="304" t="s">
        <v>180</v>
      </c>
      <c r="D15" s="304"/>
      <c r="E15" s="304"/>
      <c r="F15" s="84" t="s">
        <v>181</v>
      </c>
      <c r="G15" s="85" t="s">
        <v>0</v>
      </c>
      <c r="H15" s="186">
        <v>25970</v>
      </c>
      <c r="I15" s="178" t="s">
        <v>218</v>
      </c>
      <c r="J15" s="162">
        <v>500</v>
      </c>
    </row>
    <row r="16" spans="1:10" s="9" customFormat="1" ht="30" customHeight="1">
      <c r="A16" s="303"/>
      <c r="B16" s="179" t="s">
        <v>225</v>
      </c>
      <c r="C16" s="304" t="s">
        <v>182</v>
      </c>
      <c r="D16" s="304"/>
      <c r="E16" s="304"/>
      <c r="F16" s="84">
        <v>45710</v>
      </c>
      <c r="G16" s="85" t="s">
        <v>118</v>
      </c>
      <c r="H16" s="186">
        <v>52381</v>
      </c>
      <c r="I16" s="178">
        <v>167</v>
      </c>
      <c r="J16" s="162" t="s">
        <v>30</v>
      </c>
    </row>
    <row r="17" spans="1:10" s="9" customFormat="1" ht="30" customHeight="1">
      <c r="A17" s="303"/>
      <c r="B17" s="179" t="s">
        <v>226</v>
      </c>
      <c r="C17" s="304" t="s">
        <v>183</v>
      </c>
      <c r="D17" s="304"/>
      <c r="E17" s="304"/>
      <c r="F17" s="84">
        <v>45747</v>
      </c>
      <c r="G17" s="85" t="s">
        <v>0</v>
      </c>
      <c r="H17" s="186">
        <v>33817</v>
      </c>
      <c r="I17" s="178" t="s">
        <v>218</v>
      </c>
      <c r="J17" s="162">
        <v>500</v>
      </c>
    </row>
    <row r="18" spans="1:10" s="9" customFormat="1" ht="30" customHeight="1">
      <c r="A18" s="303"/>
      <c r="B18" s="179" t="s">
        <v>227</v>
      </c>
      <c r="C18" s="304" t="s">
        <v>184</v>
      </c>
      <c r="D18" s="304"/>
      <c r="E18" s="304"/>
      <c r="F18" s="84">
        <v>45777</v>
      </c>
      <c r="G18" s="85" t="s">
        <v>0</v>
      </c>
      <c r="H18" s="186">
        <v>35813</v>
      </c>
      <c r="I18" s="178" t="s">
        <v>218</v>
      </c>
      <c r="J18" s="162">
        <v>500</v>
      </c>
    </row>
    <row r="19" spans="1:10" s="9" customFormat="1" ht="30" customHeight="1">
      <c r="A19" s="303"/>
      <c r="B19" s="179" t="s">
        <v>228</v>
      </c>
      <c r="C19" s="304" t="s">
        <v>185</v>
      </c>
      <c r="D19" s="304"/>
      <c r="E19" s="304"/>
      <c r="F19" s="84">
        <v>45808</v>
      </c>
      <c r="G19" s="85" t="s">
        <v>0</v>
      </c>
      <c r="H19" s="186">
        <v>37687</v>
      </c>
      <c r="I19" s="178" t="s">
        <v>30</v>
      </c>
      <c r="J19" s="162">
        <v>500</v>
      </c>
    </row>
    <row r="20" spans="1:10" s="9" customFormat="1" ht="30" customHeight="1">
      <c r="A20" s="303"/>
      <c r="B20" s="179" t="s">
        <v>229</v>
      </c>
      <c r="C20" s="304" t="s">
        <v>186</v>
      </c>
      <c r="D20" s="304"/>
      <c r="E20" s="304"/>
      <c r="F20" s="84">
        <v>45800</v>
      </c>
      <c r="G20" s="85" t="s">
        <v>187</v>
      </c>
      <c r="H20" s="186">
        <v>19800</v>
      </c>
      <c r="I20" s="178">
        <v>105</v>
      </c>
      <c r="J20" s="162" t="s">
        <v>218</v>
      </c>
    </row>
    <row r="21" spans="1:10" s="9" customFormat="1" ht="30" customHeight="1">
      <c r="A21" s="303"/>
      <c r="B21" s="179" t="s">
        <v>205</v>
      </c>
      <c r="C21" s="304" t="s">
        <v>188</v>
      </c>
      <c r="D21" s="304"/>
      <c r="E21" s="304"/>
      <c r="F21" s="84">
        <v>45791</v>
      </c>
      <c r="G21" s="85" t="s">
        <v>189</v>
      </c>
      <c r="H21" s="186">
        <v>67100</v>
      </c>
      <c r="I21" s="178">
        <v>97</v>
      </c>
      <c r="J21" s="162" t="s">
        <v>218</v>
      </c>
    </row>
    <row r="22" spans="1:10" s="9" customFormat="1" ht="30" customHeight="1">
      <c r="A22" s="303"/>
      <c r="B22" s="179" t="s">
        <v>230</v>
      </c>
      <c r="C22" s="304" t="s">
        <v>158</v>
      </c>
      <c r="D22" s="304"/>
      <c r="E22" s="304"/>
      <c r="F22" s="84" t="s">
        <v>160</v>
      </c>
      <c r="G22" s="85" t="s">
        <v>126</v>
      </c>
      <c r="H22" s="186">
        <v>280000</v>
      </c>
      <c r="I22" s="178">
        <v>683</v>
      </c>
      <c r="J22" s="162" t="s">
        <v>30</v>
      </c>
    </row>
    <row r="23" spans="1:10" s="9" customFormat="1" ht="30" customHeight="1">
      <c r="A23" s="303"/>
      <c r="B23" s="179" t="s">
        <v>231</v>
      </c>
      <c r="C23" s="304" t="s">
        <v>190</v>
      </c>
      <c r="D23" s="304"/>
      <c r="E23" s="304"/>
      <c r="F23" s="84">
        <v>45860</v>
      </c>
      <c r="G23" s="85" t="s">
        <v>116</v>
      </c>
      <c r="H23" s="186">
        <v>35200</v>
      </c>
      <c r="I23" s="178">
        <v>26</v>
      </c>
      <c r="J23" s="162" t="s">
        <v>30</v>
      </c>
    </row>
    <row r="24" spans="1:10" s="9" customFormat="1" ht="30" customHeight="1">
      <c r="A24" s="303"/>
      <c r="B24" s="179" t="s">
        <v>165</v>
      </c>
      <c r="C24" s="304" t="s">
        <v>87</v>
      </c>
      <c r="D24" s="304"/>
      <c r="E24" s="304"/>
      <c r="F24" s="84" t="s">
        <v>123</v>
      </c>
      <c r="G24" s="85" t="s">
        <v>124</v>
      </c>
      <c r="H24" s="186">
        <v>1995564</v>
      </c>
      <c r="I24" s="178">
        <v>4183</v>
      </c>
      <c r="J24" s="162" t="s">
        <v>30</v>
      </c>
    </row>
    <row r="25" spans="1:10" s="9" customFormat="1" ht="30" customHeight="1">
      <c r="A25" s="303"/>
      <c r="B25" s="179" t="s">
        <v>232</v>
      </c>
      <c r="C25" s="304" t="s">
        <v>88</v>
      </c>
      <c r="D25" s="304"/>
      <c r="E25" s="304"/>
      <c r="F25" s="84" t="s">
        <v>125</v>
      </c>
      <c r="G25" s="85" t="s">
        <v>126</v>
      </c>
      <c r="H25" s="186">
        <v>509369</v>
      </c>
      <c r="I25" s="178">
        <v>837</v>
      </c>
      <c r="J25" s="162" t="s">
        <v>218</v>
      </c>
    </row>
    <row r="26" spans="1:10" s="9" customFormat="1" ht="30" customHeight="1">
      <c r="A26" s="303"/>
      <c r="B26" s="179" t="s">
        <v>233</v>
      </c>
      <c r="C26" s="304" t="s">
        <v>89</v>
      </c>
      <c r="D26" s="304"/>
      <c r="E26" s="304"/>
      <c r="F26" s="84" t="s">
        <v>127</v>
      </c>
      <c r="G26" s="85" t="s">
        <v>128</v>
      </c>
      <c r="H26" s="186">
        <v>558393</v>
      </c>
      <c r="I26" s="178">
        <v>1608</v>
      </c>
      <c r="J26" s="162" t="s">
        <v>218</v>
      </c>
    </row>
    <row r="27" spans="1:10" s="9" customFormat="1" ht="30" customHeight="1">
      <c r="A27" s="303"/>
      <c r="B27" s="179" t="s">
        <v>234</v>
      </c>
      <c r="C27" s="304" t="s">
        <v>159</v>
      </c>
      <c r="D27" s="304"/>
      <c r="E27" s="304"/>
      <c r="F27" s="84">
        <v>45988</v>
      </c>
      <c r="G27" s="85" t="s">
        <v>118</v>
      </c>
      <c r="H27" s="186">
        <v>19800</v>
      </c>
      <c r="I27" s="178">
        <v>94</v>
      </c>
      <c r="J27" s="162" t="s">
        <v>218</v>
      </c>
    </row>
    <row r="28" spans="1:10" s="9" customFormat="1" ht="63">
      <c r="A28" s="303"/>
      <c r="B28" s="305" t="s">
        <v>271</v>
      </c>
      <c r="C28" s="304" t="s">
        <v>235</v>
      </c>
      <c r="D28" s="304"/>
      <c r="E28" s="304"/>
      <c r="F28" s="180" t="s">
        <v>207</v>
      </c>
      <c r="G28" s="50" t="s">
        <v>236</v>
      </c>
      <c r="H28" s="182">
        <v>13333333</v>
      </c>
      <c r="I28" s="178" t="s">
        <v>218</v>
      </c>
      <c r="J28" s="162">
        <v>3000</v>
      </c>
    </row>
    <row r="29" spans="1:10" s="9" customFormat="1" ht="30" customHeight="1">
      <c r="A29" s="303"/>
      <c r="B29" s="305"/>
      <c r="C29" s="304" t="s">
        <v>90</v>
      </c>
      <c r="D29" s="304"/>
      <c r="E29" s="304"/>
      <c r="F29" s="180" t="s">
        <v>129</v>
      </c>
      <c r="G29" s="181" t="s">
        <v>118</v>
      </c>
      <c r="H29" s="182">
        <v>2295834</v>
      </c>
      <c r="I29" s="178">
        <v>1766</v>
      </c>
      <c r="J29" s="162" t="s">
        <v>218</v>
      </c>
    </row>
    <row r="30" spans="1:10" s="9" customFormat="1" ht="30" customHeight="1">
      <c r="A30" s="303"/>
      <c r="B30" s="305"/>
      <c r="C30" s="304" t="s">
        <v>91</v>
      </c>
      <c r="D30" s="304"/>
      <c r="E30" s="304"/>
      <c r="F30" s="180" t="s">
        <v>131</v>
      </c>
      <c r="G30" s="181" t="s">
        <v>126</v>
      </c>
      <c r="H30" s="306">
        <v>1069657</v>
      </c>
      <c r="I30" s="307">
        <v>2360</v>
      </c>
      <c r="J30" s="308" t="s">
        <v>30</v>
      </c>
    </row>
    <row r="31" spans="1:10" s="9" customFormat="1" ht="30" customHeight="1">
      <c r="A31" s="303"/>
      <c r="B31" s="305"/>
      <c r="C31" s="304" t="s">
        <v>92</v>
      </c>
      <c r="D31" s="304"/>
      <c r="E31" s="304"/>
      <c r="F31" s="180">
        <v>45812</v>
      </c>
      <c r="G31" s="181" t="s">
        <v>126</v>
      </c>
      <c r="H31" s="306"/>
      <c r="I31" s="307"/>
      <c r="J31" s="309"/>
    </row>
    <row r="32" spans="1:10" s="9" customFormat="1" ht="30" customHeight="1">
      <c r="A32" s="303"/>
      <c r="B32" s="305"/>
      <c r="C32" s="304" t="s">
        <v>93</v>
      </c>
      <c r="D32" s="304"/>
      <c r="E32" s="304"/>
      <c r="F32" s="310">
        <v>45906</v>
      </c>
      <c r="G32" s="181" t="s">
        <v>132</v>
      </c>
      <c r="H32" s="182">
        <v>1451051</v>
      </c>
      <c r="I32" s="178">
        <v>0</v>
      </c>
      <c r="J32" s="162">
        <v>1500</v>
      </c>
    </row>
    <row r="33" spans="1:12" s="9" customFormat="1" ht="30" customHeight="1">
      <c r="A33" s="303"/>
      <c r="B33" s="305"/>
      <c r="C33" s="304" t="s">
        <v>94</v>
      </c>
      <c r="D33" s="304"/>
      <c r="E33" s="304"/>
      <c r="F33" s="310"/>
      <c r="G33" s="232" t="s">
        <v>128</v>
      </c>
      <c r="H33" s="182">
        <v>1886305</v>
      </c>
      <c r="I33" s="178">
        <v>1301</v>
      </c>
      <c r="J33" s="162">
        <v>500</v>
      </c>
    </row>
    <row r="34" spans="1:12" s="9" customFormat="1" ht="30" customHeight="1">
      <c r="A34" s="303"/>
      <c r="B34" s="305"/>
      <c r="C34" s="304" t="s">
        <v>95</v>
      </c>
      <c r="D34" s="304"/>
      <c r="E34" s="304"/>
      <c r="F34" s="180">
        <v>45948</v>
      </c>
      <c r="G34" s="232"/>
      <c r="H34" s="182">
        <v>740520</v>
      </c>
      <c r="I34" s="178">
        <v>1623</v>
      </c>
      <c r="J34" s="162">
        <v>500</v>
      </c>
    </row>
    <row r="35" spans="1:12" s="9" customFormat="1" ht="30" customHeight="1">
      <c r="A35" s="303"/>
      <c r="B35" s="305"/>
      <c r="C35" s="304" t="s">
        <v>96</v>
      </c>
      <c r="D35" s="304"/>
      <c r="E35" s="304"/>
      <c r="F35" s="180">
        <v>45863</v>
      </c>
      <c r="G35" s="181" t="s">
        <v>128</v>
      </c>
      <c r="H35" s="182">
        <v>122650</v>
      </c>
      <c r="I35" s="178">
        <v>303</v>
      </c>
      <c r="J35" s="162" t="s">
        <v>218</v>
      </c>
    </row>
    <row r="36" spans="1:12" s="9" customFormat="1" ht="30" customHeight="1">
      <c r="A36" s="303"/>
      <c r="B36" s="305"/>
      <c r="C36" s="304" t="s">
        <v>97</v>
      </c>
      <c r="D36" s="304"/>
      <c r="E36" s="304"/>
      <c r="F36" s="180">
        <v>45975</v>
      </c>
      <c r="G36" s="181" t="s">
        <v>133</v>
      </c>
      <c r="H36" s="182">
        <v>9541</v>
      </c>
      <c r="I36" s="178">
        <v>53</v>
      </c>
      <c r="J36" s="162" t="s">
        <v>30</v>
      </c>
    </row>
    <row r="37" spans="1:12" s="9" customFormat="1" ht="30" customHeight="1">
      <c r="A37" s="303"/>
      <c r="B37" s="305"/>
      <c r="C37" s="304" t="s">
        <v>98</v>
      </c>
      <c r="D37" s="304"/>
      <c r="E37" s="304"/>
      <c r="F37" s="180" t="s">
        <v>134</v>
      </c>
      <c r="G37" s="181" t="s">
        <v>133</v>
      </c>
      <c r="H37" s="182">
        <v>116321</v>
      </c>
      <c r="I37" s="178">
        <v>258</v>
      </c>
      <c r="J37" s="162" t="s">
        <v>30</v>
      </c>
      <c r="K37" s="43" t="s">
        <v>260</v>
      </c>
      <c r="L37" s="43" t="s">
        <v>257</v>
      </c>
    </row>
    <row r="38" spans="1:12" s="9" customFormat="1" ht="30" customHeight="1">
      <c r="A38" s="303"/>
      <c r="B38" s="305"/>
      <c r="C38" s="304" t="s">
        <v>143</v>
      </c>
      <c r="D38" s="304"/>
      <c r="E38" s="304"/>
      <c r="F38" s="180" t="s">
        <v>144</v>
      </c>
      <c r="G38" s="181" t="s">
        <v>145</v>
      </c>
      <c r="H38" s="182">
        <v>4283508</v>
      </c>
      <c r="I38" s="188">
        <v>2344</v>
      </c>
      <c r="J38" s="162">
        <v>500</v>
      </c>
      <c r="K38" s="191">
        <v>4917</v>
      </c>
      <c r="L38" s="191">
        <f>K38-I38</f>
        <v>2573</v>
      </c>
    </row>
    <row r="39" spans="1:12" s="9" customFormat="1" ht="30" customHeight="1" thickBot="1">
      <c r="A39" s="303"/>
      <c r="B39" s="305"/>
      <c r="C39" s="304" t="s">
        <v>191</v>
      </c>
      <c r="D39" s="304"/>
      <c r="E39" s="304"/>
      <c r="F39" s="180" t="s">
        <v>116</v>
      </c>
      <c r="G39" s="181" t="s">
        <v>0</v>
      </c>
      <c r="H39" s="182">
        <v>84560</v>
      </c>
      <c r="I39" s="178">
        <v>348</v>
      </c>
      <c r="J39" s="162" t="s">
        <v>30</v>
      </c>
      <c r="K39" s="43"/>
      <c r="L39" s="43"/>
    </row>
    <row r="40" spans="1:12" s="9" customFormat="1" ht="30" customHeight="1">
      <c r="A40" s="271" t="s">
        <v>70</v>
      </c>
      <c r="B40" s="184" t="s">
        <v>237</v>
      </c>
      <c r="C40" s="282" t="s">
        <v>192</v>
      </c>
      <c r="D40" s="282"/>
      <c r="E40" s="282"/>
      <c r="F40" s="171" t="s">
        <v>193</v>
      </c>
      <c r="G40" s="172" t="s">
        <v>135</v>
      </c>
      <c r="H40" s="49">
        <v>72380</v>
      </c>
      <c r="I40" s="160">
        <v>140</v>
      </c>
      <c r="J40" s="161" t="s">
        <v>218</v>
      </c>
      <c r="K40" s="43"/>
      <c r="L40" s="43"/>
    </row>
    <row r="41" spans="1:12" s="9" customFormat="1" ht="30" customHeight="1">
      <c r="A41" s="303"/>
      <c r="B41" s="179" t="s">
        <v>238</v>
      </c>
      <c r="C41" s="304" t="s">
        <v>100</v>
      </c>
      <c r="D41" s="304"/>
      <c r="E41" s="304"/>
      <c r="F41" s="180">
        <v>45743</v>
      </c>
      <c r="G41" s="181" t="s">
        <v>135</v>
      </c>
      <c r="H41" s="46">
        <v>132660</v>
      </c>
      <c r="I41" s="178">
        <v>529</v>
      </c>
      <c r="J41" s="162" t="s">
        <v>218</v>
      </c>
      <c r="K41" s="43"/>
      <c r="L41" s="43"/>
    </row>
    <row r="42" spans="1:12" s="9" customFormat="1" ht="30" customHeight="1">
      <c r="A42" s="303"/>
      <c r="B42" s="179" t="s">
        <v>239</v>
      </c>
      <c r="C42" s="304" t="s">
        <v>102</v>
      </c>
      <c r="D42" s="304"/>
      <c r="E42" s="304"/>
      <c r="F42" s="180">
        <v>45743</v>
      </c>
      <c r="G42" s="181" t="s">
        <v>135</v>
      </c>
      <c r="H42" s="182">
        <v>169004</v>
      </c>
      <c r="I42" s="178">
        <v>547</v>
      </c>
      <c r="J42" s="162" t="s">
        <v>218</v>
      </c>
      <c r="K42" s="43"/>
      <c r="L42" s="43"/>
    </row>
    <row r="43" spans="1:12" s="9" customFormat="1" ht="30" customHeight="1" thickBot="1">
      <c r="A43" s="312"/>
      <c r="B43" s="100" t="s">
        <v>240</v>
      </c>
      <c r="C43" s="314" t="s">
        <v>104</v>
      </c>
      <c r="D43" s="314"/>
      <c r="E43" s="314"/>
      <c r="F43" s="173">
        <v>45748</v>
      </c>
      <c r="G43" s="30" t="s">
        <v>135</v>
      </c>
      <c r="H43" s="48">
        <v>837744</v>
      </c>
      <c r="I43" s="163">
        <v>1435</v>
      </c>
      <c r="J43" s="164" t="s">
        <v>218</v>
      </c>
      <c r="K43" s="43"/>
      <c r="L43" s="43"/>
    </row>
    <row r="44" spans="1:12" s="9" customFormat="1" ht="30" customHeight="1" thickBot="1">
      <c r="A44" s="53" t="s">
        <v>241</v>
      </c>
      <c r="B44" s="113" t="s">
        <v>197</v>
      </c>
      <c r="C44" s="261" t="s">
        <v>194</v>
      </c>
      <c r="D44" s="261"/>
      <c r="E44" s="261"/>
      <c r="F44" s="174">
        <v>45690</v>
      </c>
      <c r="G44" s="175" t="s">
        <v>118</v>
      </c>
      <c r="H44" s="176">
        <v>9350</v>
      </c>
      <c r="I44" s="165">
        <v>8</v>
      </c>
      <c r="J44" s="166" t="s">
        <v>218</v>
      </c>
      <c r="K44" s="43" t="s">
        <v>258</v>
      </c>
      <c r="L44" s="43" t="s">
        <v>257</v>
      </c>
    </row>
    <row r="45" spans="1:12" s="9" customFormat="1" ht="30" customHeight="1" thickBot="1">
      <c r="A45" s="53" t="s">
        <v>242</v>
      </c>
      <c r="B45" s="113" t="s">
        <v>168</v>
      </c>
      <c r="C45" s="261" t="s">
        <v>106</v>
      </c>
      <c r="D45" s="261"/>
      <c r="E45" s="261"/>
      <c r="F45" s="174">
        <v>46006</v>
      </c>
      <c r="G45" s="175" t="s">
        <v>0</v>
      </c>
      <c r="H45" s="176">
        <v>937860</v>
      </c>
      <c r="I45" s="187">
        <v>3583</v>
      </c>
      <c r="J45" s="192">
        <v>7166</v>
      </c>
      <c r="K45" s="191">
        <v>4888</v>
      </c>
      <c r="L45" s="191">
        <f>K45-I45</f>
        <v>1305</v>
      </c>
    </row>
    <row r="46" spans="1:12" s="9" customFormat="1" ht="30" customHeight="1" thickBot="1">
      <c r="A46" s="53" t="s">
        <v>243</v>
      </c>
      <c r="B46" s="113" t="s">
        <v>244</v>
      </c>
      <c r="C46" s="261" t="s">
        <v>108</v>
      </c>
      <c r="D46" s="261"/>
      <c r="E46" s="261"/>
      <c r="F46" s="148">
        <v>45955</v>
      </c>
      <c r="G46" s="149" t="s">
        <v>137</v>
      </c>
      <c r="H46" s="165">
        <v>945572</v>
      </c>
      <c r="I46" s="165">
        <v>2501</v>
      </c>
      <c r="J46" s="166" t="s">
        <v>30</v>
      </c>
      <c r="K46" s="43"/>
      <c r="L46" s="43"/>
    </row>
    <row r="47" spans="1:12" s="9" customFormat="1" ht="30" customHeight="1" thickBot="1">
      <c r="A47" s="53" t="s">
        <v>245</v>
      </c>
      <c r="B47" s="113" t="s">
        <v>246</v>
      </c>
      <c r="C47" s="261" t="s">
        <v>110</v>
      </c>
      <c r="D47" s="261"/>
      <c r="E47" s="261"/>
      <c r="F47" s="148">
        <v>46014</v>
      </c>
      <c r="G47" s="149" t="s">
        <v>132</v>
      </c>
      <c r="H47" s="165">
        <v>323810</v>
      </c>
      <c r="I47" s="165">
        <v>1140</v>
      </c>
      <c r="J47" s="166" t="s">
        <v>218</v>
      </c>
      <c r="K47" s="43"/>
      <c r="L47" s="43"/>
    </row>
    <row r="48" spans="1:12" s="9" customFormat="1" ht="30" customHeight="1" thickBot="1">
      <c r="A48" s="53" t="s">
        <v>247</v>
      </c>
      <c r="B48" s="113" t="s">
        <v>198</v>
      </c>
      <c r="C48" s="261" t="s">
        <v>195</v>
      </c>
      <c r="D48" s="261"/>
      <c r="E48" s="261"/>
      <c r="F48" s="148">
        <v>45693</v>
      </c>
      <c r="G48" s="149" t="s">
        <v>116</v>
      </c>
      <c r="H48" s="165">
        <v>11429</v>
      </c>
      <c r="I48" s="183">
        <v>0</v>
      </c>
      <c r="J48" s="166" t="s">
        <v>218</v>
      </c>
    </row>
    <row r="49" spans="1:13" s="9" customFormat="1" ht="30" customHeight="1">
      <c r="A49" s="311" t="s">
        <v>248</v>
      </c>
      <c r="B49" s="101" t="s">
        <v>199</v>
      </c>
      <c r="C49" s="313" t="s">
        <v>84</v>
      </c>
      <c r="D49" s="313"/>
      <c r="E49" s="313"/>
      <c r="F49" s="102" t="s">
        <v>196</v>
      </c>
      <c r="G49" s="103" t="s">
        <v>0</v>
      </c>
      <c r="H49" s="169">
        <v>5360000</v>
      </c>
      <c r="I49" s="167" t="s">
        <v>218</v>
      </c>
      <c r="J49" s="177">
        <v>9100</v>
      </c>
    </row>
    <row r="50" spans="1:13" s="9" customFormat="1" ht="30" customHeight="1">
      <c r="A50" s="303"/>
      <c r="B50" s="179" t="s">
        <v>249</v>
      </c>
      <c r="C50" s="304" t="s">
        <v>190</v>
      </c>
      <c r="D50" s="304"/>
      <c r="E50" s="304"/>
      <c r="F50" s="84" t="s">
        <v>196</v>
      </c>
      <c r="G50" s="85" t="s">
        <v>0</v>
      </c>
      <c r="H50" s="185">
        <v>20000</v>
      </c>
      <c r="I50" s="178" t="s">
        <v>30</v>
      </c>
      <c r="J50" s="162">
        <v>1000</v>
      </c>
    </row>
    <row r="51" spans="1:13" s="9" customFormat="1" ht="30" customHeight="1" thickBot="1">
      <c r="A51" s="312"/>
      <c r="B51" s="100" t="s">
        <v>200</v>
      </c>
      <c r="C51" s="314" t="s">
        <v>106</v>
      </c>
      <c r="D51" s="314"/>
      <c r="E51" s="314"/>
      <c r="F51" s="110" t="s">
        <v>196</v>
      </c>
      <c r="G51" s="111" t="s">
        <v>0</v>
      </c>
      <c r="H51" s="170">
        <v>40300</v>
      </c>
      <c r="I51" s="163" t="s">
        <v>218</v>
      </c>
      <c r="J51" s="164">
        <v>1000</v>
      </c>
    </row>
    <row r="52" spans="1:13" ht="30" customHeight="1">
      <c r="A52" s="319" t="s">
        <v>250</v>
      </c>
      <c r="B52" s="320"/>
      <c r="C52" s="320"/>
      <c r="D52" s="320"/>
      <c r="E52" s="320"/>
      <c r="F52" s="320"/>
      <c r="G52" s="320"/>
      <c r="H52" s="320"/>
      <c r="I52" s="159">
        <f>SUM(I6:I37,K38,I39:I44,K45,I46:I51)</f>
        <v>40614</v>
      </c>
      <c r="J52" s="168">
        <f>SUM(J6:J44,J46:J51)</f>
        <v>22600</v>
      </c>
    </row>
    <row r="53" spans="1:13" ht="30" customHeight="1" thickBot="1">
      <c r="A53" s="321" t="s">
        <v>27</v>
      </c>
      <c r="B53" s="322"/>
      <c r="C53" s="322"/>
      <c r="D53" s="322"/>
      <c r="E53" s="322"/>
      <c r="F53" s="322"/>
      <c r="G53" s="322"/>
      <c r="H53" s="322"/>
      <c r="I53" s="241">
        <f>SUM(I52:J52)</f>
        <v>63214</v>
      </c>
      <c r="J53" s="243"/>
    </row>
    <row r="54" spans="1:13" ht="30" customHeight="1" thickBot="1">
      <c r="H54" s="8"/>
      <c r="I54" s="8"/>
      <c r="J54" s="9"/>
    </row>
    <row r="55" spans="1:13" s="9" customFormat="1" ht="30" customHeight="1" thickBot="1">
      <c r="A55" s="284" t="s">
        <v>269</v>
      </c>
      <c r="B55" s="285"/>
      <c r="C55" s="285"/>
      <c r="D55" s="285"/>
      <c r="E55" s="285"/>
      <c r="F55" s="285"/>
      <c r="G55" s="285"/>
      <c r="H55" s="285"/>
      <c r="I55" s="285"/>
      <c r="J55" s="286"/>
      <c r="K55" s="1"/>
      <c r="L55" s="1"/>
      <c r="M55" s="1"/>
    </row>
    <row r="56" spans="1:13" s="9" customFormat="1" ht="30" customHeight="1">
      <c r="A56" s="287" t="s">
        <v>167</v>
      </c>
      <c r="B56" s="289" t="s">
        <v>168</v>
      </c>
      <c r="C56" s="291" t="s">
        <v>106</v>
      </c>
      <c r="D56" s="292"/>
      <c r="E56" s="293"/>
      <c r="F56" s="297">
        <v>46006</v>
      </c>
      <c r="G56" s="299" t="s">
        <v>0</v>
      </c>
      <c r="H56" s="301">
        <v>937860</v>
      </c>
      <c r="I56" s="49" t="s">
        <v>270</v>
      </c>
      <c r="J56" s="207">
        <v>7166</v>
      </c>
      <c r="K56" s="191"/>
      <c r="L56" s="191"/>
    </row>
    <row r="57" spans="1:13" s="9" customFormat="1" ht="30" customHeight="1" thickBot="1">
      <c r="A57" s="288"/>
      <c r="B57" s="290"/>
      <c r="C57" s="294"/>
      <c r="D57" s="295"/>
      <c r="E57" s="296"/>
      <c r="F57" s="298"/>
      <c r="G57" s="300"/>
      <c r="H57" s="302"/>
      <c r="I57" s="198">
        <v>-1305</v>
      </c>
      <c r="J57" s="208"/>
      <c r="K57" s="191"/>
      <c r="L57" s="191"/>
    </row>
    <row r="58" spans="1:13" ht="30" customHeight="1" thickBot="1">
      <c r="A58" s="53" t="s">
        <v>274</v>
      </c>
      <c r="B58" s="113" t="s">
        <v>272</v>
      </c>
      <c r="C58" s="261" t="s">
        <v>143</v>
      </c>
      <c r="D58" s="261"/>
      <c r="E58" s="261"/>
      <c r="F58" s="174" t="s">
        <v>144</v>
      </c>
      <c r="G58" s="175" t="s">
        <v>145</v>
      </c>
      <c r="H58" s="209">
        <v>4283508</v>
      </c>
      <c r="I58" s="210">
        <v>-2573</v>
      </c>
      <c r="J58" s="166"/>
    </row>
    <row r="59" spans="1:13" ht="30" customHeight="1" thickBot="1">
      <c r="A59" s="315" t="s">
        <v>262</v>
      </c>
      <c r="B59" s="316"/>
      <c r="C59" s="316"/>
      <c r="D59" s="316"/>
      <c r="E59" s="316"/>
      <c r="F59" s="316"/>
      <c r="G59" s="316"/>
      <c r="H59" s="316"/>
      <c r="I59" s="317">
        <f>J45-L45-L38</f>
        <v>3288</v>
      </c>
      <c r="J59" s="318"/>
    </row>
    <row r="60" spans="1:13" ht="30" customHeight="1">
      <c r="H60" s="8"/>
      <c r="I60" s="8"/>
      <c r="J60" s="9"/>
    </row>
    <row r="61" spans="1:13" ht="30" customHeight="1">
      <c r="H61" s="8"/>
      <c r="I61" s="8"/>
      <c r="J61" s="9"/>
    </row>
    <row r="62" spans="1:13" ht="30" customHeight="1" thickBot="1">
      <c r="F62" s="1"/>
      <c r="G62" s="4" t="s">
        <v>251</v>
      </c>
      <c r="H62" s="5"/>
      <c r="I62" s="5"/>
      <c r="J62" s="5"/>
    </row>
    <row r="63" spans="1:13" ht="30" customHeight="1">
      <c r="F63" s="8"/>
      <c r="G63" s="8"/>
      <c r="H63" s="6"/>
    </row>
    <row r="64" spans="1:13" ht="30" customHeight="1">
      <c r="F64" s="1"/>
      <c r="G64" s="1"/>
    </row>
    <row r="65" ht="30" customHeight="1"/>
    <row r="66" ht="30" customHeight="1"/>
    <row r="67" ht="30" customHeight="1"/>
    <row r="68" ht="30" customHeight="1"/>
    <row r="69" ht="30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spans="3:9" ht="21.95" customHeight="1"/>
    <row r="82" spans="3:9" ht="21.95" customHeight="1"/>
    <row r="83" spans="3:9" ht="21.95" customHeight="1"/>
    <row r="84" spans="3:9">
      <c r="C84" s="1"/>
      <c r="D84" s="1"/>
      <c r="E84" s="1"/>
      <c r="F84" s="1"/>
      <c r="G84" s="1"/>
      <c r="H84" s="1"/>
      <c r="I84" s="1"/>
    </row>
    <row r="85" spans="3:9">
      <c r="C85" s="1"/>
      <c r="D85" s="1"/>
      <c r="E85" s="1"/>
      <c r="F85" s="1"/>
      <c r="G85" s="1"/>
      <c r="H85" s="1"/>
      <c r="I85" s="1"/>
    </row>
  </sheetData>
  <mergeCells count="70">
    <mergeCell ref="A59:H59"/>
    <mergeCell ref="I59:J59"/>
    <mergeCell ref="A52:H52"/>
    <mergeCell ref="A53:H53"/>
    <mergeCell ref="I53:J53"/>
    <mergeCell ref="A49:A51"/>
    <mergeCell ref="C49:E49"/>
    <mergeCell ref="C50:E50"/>
    <mergeCell ref="C51:E51"/>
    <mergeCell ref="A40:A43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H30:H31"/>
    <mergeCell ref="I30:I31"/>
    <mergeCell ref="J30:J31"/>
    <mergeCell ref="C31:E31"/>
    <mergeCell ref="C32:E32"/>
    <mergeCell ref="F32:F33"/>
    <mergeCell ref="C33:E33"/>
    <mergeCell ref="G33:G34"/>
    <mergeCell ref="C34:E34"/>
    <mergeCell ref="C23:E23"/>
    <mergeCell ref="C25:E25"/>
    <mergeCell ref="C26:E26"/>
    <mergeCell ref="C27:E27"/>
    <mergeCell ref="B28:B39"/>
    <mergeCell ref="C28:E28"/>
    <mergeCell ref="C29:E29"/>
    <mergeCell ref="C30:E30"/>
    <mergeCell ref="C35:E35"/>
    <mergeCell ref="C36:E36"/>
    <mergeCell ref="C37:E37"/>
    <mergeCell ref="C38:E38"/>
    <mergeCell ref="C39:E39"/>
    <mergeCell ref="C18:E18"/>
    <mergeCell ref="C19:E19"/>
    <mergeCell ref="C20:E20"/>
    <mergeCell ref="C21:E21"/>
    <mergeCell ref="C22:E22"/>
    <mergeCell ref="A4:J4"/>
    <mergeCell ref="C5:E5"/>
    <mergeCell ref="A6:A39"/>
    <mergeCell ref="C6:E6"/>
    <mergeCell ref="C7:E7"/>
    <mergeCell ref="C8:E8"/>
    <mergeCell ref="C9:E9"/>
    <mergeCell ref="C10:E10"/>
    <mergeCell ref="C11:E11"/>
    <mergeCell ref="C12:E12"/>
    <mergeCell ref="C24:E24"/>
    <mergeCell ref="C13:E13"/>
    <mergeCell ref="C14:E14"/>
    <mergeCell ref="C15:E15"/>
    <mergeCell ref="C16:E16"/>
    <mergeCell ref="C17:E17"/>
    <mergeCell ref="A55:J55"/>
    <mergeCell ref="C58:E58"/>
    <mergeCell ref="A56:A57"/>
    <mergeCell ref="B56:B57"/>
    <mergeCell ref="C56:E57"/>
    <mergeCell ref="F56:F57"/>
    <mergeCell ref="G56:G57"/>
    <mergeCell ref="H56:H57"/>
  </mergeCells>
  <phoneticPr fontId="2" type="noConversion"/>
  <pageMargins left="0.23622047244094488" right="0.23622047244094488" top="0.51181102362204722" bottom="0.51181102362204722" header="0" footer="0"/>
  <pageSetup paperSize="9" scale="56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zoomScale="70" zoomScaleNormal="70" workbookViewId="0">
      <pane ySplit="5" topLeftCell="A31" activePane="bottomLeft" state="frozen"/>
      <selection pane="bottomLeft" activeCell="A34" sqref="A34:M48"/>
    </sheetView>
  </sheetViews>
  <sheetFormatPr defaultColWidth="8.875" defaultRowHeight="15.75"/>
  <cols>
    <col min="1" max="13" width="15.875" style="9" customWidth="1"/>
    <col min="14" max="14" width="21.25" style="9" customWidth="1"/>
    <col min="15" max="16384" width="8.875" style="9"/>
  </cols>
  <sheetData>
    <row r="1" spans="1:13" s="20" customFormat="1" ht="30" customHeight="1">
      <c r="A1" s="22" t="s">
        <v>3</v>
      </c>
      <c r="B1" s="64" t="s">
        <v>29</v>
      </c>
      <c r="C1" s="64" t="s">
        <v>8</v>
      </c>
      <c r="D1" s="64" t="s">
        <v>7</v>
      </c>
      <c r="E1" s="64" t="s">
        <v>22</v>
      </c>
      <c r="F1" s="64" t="s">
        <v>9</v>
      </c>
      <c r="G1" s="16" t="s">
        <v>23</v>
      </c>
      <c r="H1" s="17" t="s">
        <v>24</v>
      </c>
      <c r="I1" s="18" t="s">
        <v>5</v>
      </c>
    </row>
    <row r="2" spans="1:13" ht="30" customHeight="1" thickBot="1">
      <c r="A2" s="31" t="s">
        <v>1</v>
      </c>
      <c r="B2" s="29">
        <v>43822</v>
      </c>
      <c r="C2" s="32">
        <v>41000</v>
      </c>
      <c r="D2" s="30">
        <v>1835</v>
      </c>
      <c r="E2" s="2">
        <v>41000</v>
      </c>
      <c r="F2" s="2">
        <f>J32-E2</f>
        <v>67854.572</v>
      </c>
      <c r="G2" s="2">
        <v>30000</v>
      </c>
      <c r="H2" s="2">
        <v>10000</v>
      </c>
      <c r="I2" s="3">
        <f>SUM(E2:H2)</f>
        <v>148854.57199999999</v>
      </c>
    </row>
    <row r="3" spans="1:13" ht="30" customHeight="1" thickBot="1">
      <c r="A3" s="7"/>
      <c r="B3" s="7"/>
      <c r="C3" s="7"/>
      <c r="D3" s="7"/>
      <c r="E3" s="7"/>
      <c r="F3" s="8"/>
      <c r="G3" s="7"/>
      <c r="H3" s="8"/>
      <c r="I3" s="8"/>
      <c r="J3" s="6"/>
    </row>
    <row r="4" spans="1:13" ht="30" customHeight="1">
      <c r="A4" s="252" t="s">
        <v>63</v>
      </c>
      <c r="B4" s="253"/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4"/>
    </row>
    <row r="5" spans="1:13" ht="30" customHeight="1" thickBot="1">
      <c r="A5" s="98" t="s">
        <v>15</v>
      </c>
      <c r="B5" s="72" t="s">
        <v>16</v>
      </c>
      <c r="C5" s="354" t="s">
        <v>17</v>
      </c>
      <c r="D5" s="355"/>
      <c r="E5" s="356"/>
      <c r="F5" s="72" t="s">
        <v>18</v>
      </c>
      <c r="G5" s="72" t="s">
        <v>19</v>
      </c>
      <c r="H5" s="72" t="s">
        <v>36</v>
      </c>
      <c r="I5" s="72" t="s">
        <v>37</v>
      </c>
      <c r="J5" s="72" t="s">
        <v>20</v>
      </c>
      <c r="K5" s="73" t="s">
        <v>38</v>
      </c>
      <c r="L5" s="73" t="s">
        <v>39</v>
      </c>
      <c r="M5" s="74" t="s">
        <v>21</v>
      </c>
    </row>
    <row r="6" spans="1:13" s="13" customFormat="1" ht="30" customHeight="1">
      <c r="A6" s="323" t="s">
        <v>267</v>
      </c>
      <c r="B6" s="99" t="s">
        <v>72</v>
      </c>
      <c r="C6" s="350" t="s">
        <v>81</v>
      </c>
      <c r="D6" s="350"/>
      <c r="E6" s="350"/>
      <c r="F6" s="87">
        <v>45683</v>
      </c>
      <c r="G6" s="88" t="s">
        <v>114</v>
      </c>
      <c r="H6" s="89" t="s">
        <v>115</v>
      </c>
      <c r="I6" s="90" t="s">
        <v>116</v>
      </c>
      <c r="J6" s="91">
        <v>1476190</v>
      </c>
      <c r="K6" s="125" t="s">
        <v>141</v>
      </c>
      <c r="L6" s="92" t="s">
        <v>139</v>
      </c>
      <c r="M6" s="93">
        <v>11677</v>
      </c>
    </row>
    <row r="7" spans="1:13" s="13" customFormat="1" ht="30" customHeight="1">
      <c r="A7" s="324"/>
      <c r="B7" s="196" t="s">
        <v>73</v>
      </c>
      <c r="C7" s="351" t="s">
        <v>82</v>
      </c>
      <c r="D7" s="351"/>
      <c r="E7" s="351"/>
      <c r="F7" s="76" t="s">
        <v>117</v>
      </c>
      <c r="G7" s="78" t="s">
        <v>116</v>
      </c>
      <c r="H7" s="78" t="s">
        <v>115</v>
      </c>
      <c r="I7" s="78" t="s">
        <v>116</v>
      </c>
      <c r="J7" s="79">
        <v>7000</v>
      </c>
      <c r="K7" s="124" t="s">
        <v>142</v>
      </c>
      <c r="L7" s="124" t="s">
        <v>142</v>
      </c>
      <c r="M7" s="94">
        <v>176</v>
      </c>
    </row>
    <row r="8" spans="1:13" s="13" customFormat="1" ht="30" customHeight="1">
      <c r="A8" s="324"/>
      <c r="B8" s="196" t="s">
        <v>74</v>
      </c>
      <c r="C8" s="351" t="s">
        <v>83</v>
      </c>
      <c r="D8" s="351"/>
      <c r="E8" s="351"/>
      <c r="F8" s="75">
        <v>45688</v>
      </c>
      <c r="G8" s="78" t="s">
        <v>118</v>
      </c>
      <c r="H8" s="78" t="s">
        <v>119</v>
      </c>
      <c r="I8" s="78" t="s">
        <v>120</v>
      </c>
      <c r="J8" s="79">
        <v>414286</v>
      </c>
      <c r="K8" s="80">
        <v>1460</v>
      </c>
      <c r="L8" s="124" t="s">
        <v>142</v>
      </c>
      <c r="M8" s="126" t="s">
        <v>142</v>
      </c>
    </row>
    <row r="9" spans="1:13" s="13" customFormat="1" ht="30" customHeight="1">
      <c r="A9" s="324"/>
      <c r="B9" s="196" t="s">
        <v>75</v>
      </c>
      <c r="C9" s="351" t="s">
        <v>84</v>
      </c>
      <c r="D9" s="351"/>
      <c r="E9" s="351"/>
      <c r="F9" s="76" t="s">
        <v>121</v>
      </c>
      <c r="G9" s="76" t="s">
        <v>122</v>
      </c>
      <c r="H9" s="78" t="s">
        <v>115</v>
      </c>
      <c r="I9" s="78" t="s">
        <v>116</v>
      </c>
      <c r="J9" s="79">
        <v>3668571</v>
      </c>
      <c r="K9" s="80">
        <v>5796</v>
      </c>
      <c r="L9" s="124" t="s">
        <v>142</v>
      </c>
      <c r="M9" s="126" t="s">
        <v>142</v>
      </c>
    </row>
    <row r="10" spans="1:13" s="13" customFormat="1" ht="30" customHeight="1">
      <c r="A10" s="324"/>
      <c r="B10" s="196" t="s">
        <v>76</v>
      </c>
      <c r="C10" s="351" t="s">
        <v>85</v>
      </c>
      <c r="D10" s="351"/>
      <c r="E10" s="351"/>
      <c r="F10" s="75">
        <v>45694</v>
      </c>
      <c r="G10" s="76" t="s">
        <v>114</v>
      </c>
      <c r="H10" s="78" t="s">
        <v>119</v>
      </c>
      <c r="I10" s="78" t="s">
        <v>120</v>
      </c>
      <c r="J10" s="79">
        <v>876190</v>
      </c>
      <c r="K10" s="80">
        <v>2525</v>
      </c>
      <c r="L10" s="124" t="s">
        <v>142</v>
      </c>
      <c r="M10" s="126" t="s">
        <v>142</v>
      </c>
    </row>
    <row r="11" spans="1:13" s="13" customFormat="1" ht="30" customHeight="1">
      <c r="A11" s="324"/>
      <c r="B11" s="196" t="s">
        <v>77</v>
      </c>
      <c r="C11" s="351" t="s">
        <v>86</v>
      </c>
      <c r="D11" s="351"/>
      <c r="E11" s="351"/>
      <c r="F11" s="75">
        <v>45690</v>
      </c>
      <c r="G11" s="78" t="s">
        <v>118</v>
      </c>
      <c r="H11" s="78" t="s">
        <v>119</v>
      </c>
      <c r="I11" s="78" t="s">
        <v>120</v>
      </c>
      <c r="J11" s="79">
        <v>409524</v>
      </c>
      <c r="K11" s="80">
        <v>1715</v>
      </c>
      <c r="L11" s="124" t="s">
        <v>142</v>
      </c>
      <c r="M11" s="126" t="s">
        <v>142</v>
      </c>
    </row>
    <row r="12" spans="1:13" s="13" customFormat="1" ht="30" customHeight="1">
      <c r="A12" s="324"/>
      <c r="B12" s="196" t="s">
        <v>78</v>
      </c>
      <c r="C12" s="351" t="s">
        <v>87</v>
      </c>
      <c r="D12" s="351"/>
      <c r="E12" s="351"/>
      <c r="F12" s="76" t="s">
        <v>123</v>
      </c>
      <c r="G12" s="76" t="s">
        <v>124</v>
      </c>
      <c r="H12" s="78" t="s">
        <v>115</v>
      </c>
      <c r="I12" s="78" t="s">
        <v>115</v>
      </c>
      <c r="J12" s="79">
        <v>1995564</v>
      </c>
      <c r="K12" s="124" t="s">
        <v>142</v>
      </c>
      <c r="L12" s="124" t="s">
        <v>142</v>
      </c>
      <c r="M12" s="95">
        <v>20913</v>
      </c>
    </row>
    <row r="13" spans="1:13" s="13" customFormat="1" ht="30" customHeight="1">
      <c r="A13" s="324"/>
      <c r="B13" s="196" t="s">
        <v>79</v>
      </c>
      <c r="C13" s="351" t="s">
        <v>88</v>
      </c>
      <c r="D13" s="351"/>
      <c r="E13" s="351"/>
      <c r="F13" s="76" t="s">
        <v>125</v>
      </c>
      <c r="G13" s="76" t="s">
        <v>126</v>
      </c>
      <c r="H13" s="78" t="s">
        <v>119</v>
      </c>
      <c r="I13" s="78" t="s">
        <v>115</v>
      </c>
      <c r="J13" s="79">
        <v>509369</v>
      </c>
      <c r="K13" s="124" t="s">
        <v>142</v>
      </c>
      <c r="L13" s="80">
        <v>2512</v>
      </c>
      <c r="M13" s="126" t="s">
        <v>142</v>
      </c>
    </row>
    <row r="14" spans="1:13" s="13" customFormat="1" ht="30" customHeight="1">
      <c r="A14" s="324"/>
      <c r="B14" s="196" t="s">
        <v>80</v>
      </c>
      <c r="C14" s="351" t="s">
        <v>89</v>
      </c>
      <c r="D14" s="351"/>
      <c r="E14" s="351"/>
      <c r="F14" s="76" t="s">
        <v>127</v>
      </c>
      <c r="G14" s="76" t="s">
        <v>128</v>
      </c>
      <c r="H14" s="78" t="s">
        <v>115</v>
      </c>
      <c r="I14" s="78" t="s">
        <v>115</v>
      </c>
      <c r="J14" s="79">
        <v>558393</v>
      </c>
      <c r="K14" s="124" t="s">
        <v>142</v>
      </c>
      <c r="L14" s="124" t="s">
        <v>142</v>
      </c>
      <c r="M14" s="95">
        <v>8040</v>
      </c>
    </row>
    <row r="15" spans="1:13" s="13" customFormat="1" ht="30" customHeight="1">
      <c r="A15" s="324"/>
      <c r="B15" s="326" t="s">
        <v>265</v>
      </c>
      <c r="C15" s="353" t="s">
        <v>90</v>
      </c>
      <c r="D15" s="353"/>
      <c r="E15" s="353"/>
      <c r="F15" s="81" t="s">
        <v>129</v>
      </c>
      <c r="G15" s="78" t="s">
        <v>118</v>
      </c>
      <c r="H15" s="76" t="s">
        <v>130</v>
      </c>
      <c r="I15" s="78" t="s">
        <v>116</v>
      </c>
      <c r="J15" s="79">
        <v>2295834</v>
      </c>
      <c r="K15" s="124" t="s">
        <v>142</v>
      </c>
      <c r="L15" s="132">
        <v>5298</v>
      </c>
      <c r="M15" s="126" t="s">
        <v>142</v>
      </c>
    </row>
    <row r="16" spans="1:13" s="13" customFormat="1" ht="30" customHeight="1">
      <c r="A16" s="324"/>
      <c r="B16" s="327"/>
      <c r="C16" s="353" t="s">
        <v>91</v>
      </c>
      <c r="D16" s="353"/>
      <c r="E16" s="353"/>
      <c r="F16" s="81" t="s">
        <v>131</v>
      </c>
      <c r="G16" s="78" t="s">
        <v>126</v>
      </c>
      <c r="H16" s="76" t="s">
        <v>130</v>
      </c>
      <c r="I16" s="78" t="s">
        <v>116</v>
      </c>
      <c r="J16" s="358">
        <v>1069657</v>
      </c>
      <c r="K16" s="357" t="s">
        <v>142</v>
      </c>
      <c r="L16" s="359">
        <v>7080</v>
      </c>
      <c r="M16" s="360" t="s">
        <v>142</v>
      </c>
    </row>
    <row r="17" spans="1:14" s="13" customFormat="1" ht="30" customHeight="1">
      <c r="A17" s="324"/>
      <c r="B17" s="327"/>
      <c r="C17" s="353" t="s">
        <v>92</v>
      </c>
      <c r="D17" s="353"/>
      <c r="E17" s="353"/>
      <c r="F17" s="82">
        <v>45812</v>
      </c>
      <c r="G17" s="78" t="s">
        <v>126</v>
      </c>
      <c r="H17" s="76" t="s">
        <v>130</v>
      </c>
      <c r="I17" s="78" t="s">
        <v>116</v>
      </c>
      <c r="J17" s="358"/>
      <c r="K17" s="357"/>
      <c r="L17" s="359"/>
      <c r="M17" s="361"/>
    </row>
    <row r="18" spans="1:14" s="13" customFormat="1" ht="30" customHeight="1">
      <c r="A18" s="324"/>
      <c r="B18" s="327"/>
      <c r="C18" s="353" t="s">
        <v>93</v>
      </c>
      <c r="D18" s="353"/>
      <c r="E18" s="353"/>
      <c r="F18" s="362">
        <v>45906</v>
      </c>
      <c r="G18" s="78" t="s">
        <v>132</v>
      </c>
      <c r="H18" s="76" t="s">
        <v>130</v>
      </c>
      <c r="I18" s="78" t="s">
        <v>116</v>
      </c>
      <c r="J18" s="79">
        <v>1451051</v>
      </c>
      <c r="K18" s="124" t="s">
        <v>142</v>
      </c>
      <c r="L18" s="34">
        <v>0</v>
      </c>
      <c r="M18" s="126" t="s">
        <v>142</v>
      </c>
    </row>
    <row r="19" spans="1:14" s="13" customFormat="1" ht="30" customHeight="1">
      <c r="A19" s="324"/>
      <c r="B19" s="327"/>
      <c r="C19" s="353" t="s">
        <v>94</v>
      </c>
      <c r="D19" s="353"/>
      <c r="E19" s="353"/>
      <c r="F19" s="362"/>
      <c r="G19" s="351" t="s">
        <v>128</v>
      </c>
      <c r="H19" s="304" t="s">
        <v>115</v>
      </c>
      <c r="I19" s="363" t="s">
        <v>115</v>
      </c>
      <c r="J19" s="79">
        <v>1886305</v>
      </c>
      <c r="K19" s="124" t="s">
        <v>142</v>
      </c>
      <c r="L19" s="132">
        <v>3902</v>
      </c>
      <c r="M19" s="126" t="s">
        <v>142</v>
      </c>
    </row>
    <row r="20" spans="1:14" s="13" customFormat="1" ht="30" customHeight="1">
      <c r="A20" s="324"/>
      <c r="B20" s="327"/>
      <c r="C20" s="353" t="s">
        <v>95</v>
      </c>
      <c r="D20" s="353"/>
      <c r="E20" s="353"/>
      <c r="F20" s="82">
        <v>45948</v>
      </c>
      <c r="G20" s="351"/>
      <c r="H20" s="304"/>
      <c r="I20" s="363"/>
      <c r="J20" s="79">
        <v>740520</v>
      </c>
      <c r="K20" s="124" t="s">
        <v>142</v>
      </c>
      <c r="L20" s="132" t="s">
        <v>141</v>
      </c>
      <c r="M20" s="95">
        <v>8113</v>
      </c>
    </row>
    <row r="21" spans="1:14" s="13" customFormat="1" ht="30" customHeight="1">
      <c r="A21" s="324"/>
      <c r="B21" s="327"/>
      <c r="C21" s="353" t="s">
        <v>96</v>
      </c>
      <c r="D21" s="353"/>
      <c r="E21" s="353"/>
      <c r="F21" s="82">
        <v>45863</v>
      </c>
      <c r="G21" s="77" t="s">
        <v>128</v>
      </c>
      <c r="H21" s="76" t="s">
        <v>130</v>
      </c>
      <c r="I21" s="78" t="s">
        <v>115</v>
      </c>
      <c r="J21" s="79">
        <v>122650</v>
      </c>
      <c r="K21" s="124" t="s">
        <v>142</v>
      </c>
      <c r="L21" s="34" t="s">
        <v>146</v>
      </c>
      <c r="M21" s="126" t="s">
        <v>142</v>
      </c>
    </row>
    <row r="22" spans="1:14" s="13" customFormat="1" ht="30" customHeight="1">
      <c r="A22" s="324"/>
      <c r="B22" s="327"/>
      <c r="C22" s="353" t="s">
        <v>97</v>
      </c>
      <c r="D22" s="353"/>
      <c r="E22" s="353"/>
      <c r="F22" s="82">
        <v>45975</v>
      </c>
      <c r="G22" s="77" t="s">
        <v>133</v>
      </c>
      <c r="H22" s="77" t="s">
        <v>115</v>
      </c>
      <c r="I22" s="78" t="s">
        <v>115</v>
      </c>
      <c r="J22" s="79">
        <v>9541</v>
      </c>
      <c r="K22" s="124" t="s">
        <v>142</v>
      </c>
      <c r="L22" s="34">
        <v>160</v>
      </c>
      <c r="M22" s="126" t="s">
        <v>142</v>
      </c>
    </row>
    <row r="23" spans="1:14" s="13" customFormat="1" ht="30" customHeight="1" thickBot="1">
      <c r="A23" s="325"/>
      <c r="B23" s="328"/>
      <c r="C23" s="353" t="s">
        <v>98</v>
      </c>
      <c r="D23" s="353"/>
      <c r="E23" s="353"/>
      <c r="F23" s="81" t="s">
        <v>134</v>
      </c>
      <c r="G23" s="77" t="s">
        <v>133</v>
      </c>
      <c r="H23" s="77" t="s">
        <v>130</v>
      </c>
      <c r="I23" s="78" t="s">
        <v>115</v>
      </c>
      <c r="J23" s="79">
        <v>116321</v>
      </c>
      <c r="K23" s="124" t="s">
        <v>142</v>
      </c>
      <c r="L23" s="34">
        <v>774</v>
      </c>
      <c r="M23" s="126" t="s">
        <v>142</v>
      </c>
    </row>
    <row r="24" spans="1:14" s="13" customFormat="1" ht="34.5">
      <c r="A24" s="347" t="s">
        <v>70</v>
      </c>
      <c r="B24" s="105" t="s">
        <v>99</v>
      </c>
      <c r="C24" s="282" t="s">
        <v>100</v>
      </c>
      <c r="D24" s="282"/>
      <c r="E24" s="282"/>
      <c r="F24" s="106">
        <v>45743</v>
      </c>
      <c r="G24" s="107" t="s">
        <v>135</v>
      </c>
      <c r="H24" s="88" t="s">
        <v>115</v>
      </c>
      <c r="I24" s="121" t="s">
        <v>140</v>
      </c>
      <c r="J24" s="108">
        <v>132660</v>
      </c>
      <c r="K24" s="125" t="s">
        <v>142</v>
      </c>
      <c r="L24" s="109">
        <v>1588</v>
      </c>
      <c r="M24" s="130" t="s">
        <v>142</v>
      </c>
    </row>
    <row r="25" spans="1:14" s="13" customFormat="1" ht="30" customHeight="1">
      <c r="A25" s="348"/>
      <c r="B25" s="83" t="s">
        <v>101</v>
      </c>
      <c r="C25" s="304" t="s">
        <v>102</v>
      </c>
      <c r="D25" s="304"/>
      <c r="E25" s="304"/>
      <c r="F25" s="84">
        <v>45743</v>
      </c>
      <c r="G25" s="85" t="s">
        <v>135</v>
      </c>
      <c r="H25" s="76" t="s">
        <v>115</v>
      </c>
      <c r="I25" s="77" t="s">
        <v>116</v>
      </c>
      <c r="J25" s="86">
        <v>169004</v>
      </c>
      <c r="K25" s="124" t="s">
        <v>142</v>
      </c>
      <c r="L25" s="124" t="s">
        <v>142</v>
      </c>
      <c r="M25" s="95">
        <v>2733</v>
      </c>
    </row>
    <row r="26" spans="1:14" s="13" customFormat="1" ht="35.25" thickBot="1">
      <c r="A26" s="349"/>
      <c r="B26" s="100" t="s">
        <v>103</v>
      </c>
      <c r="C26" s="314" t="s">
        <v>104</v>
      </c>
      <c r="D26" s="314"/>
      <c r="E26" s="314"/>
      <c r="F26" s="110">
        <v>45748</v>
      </c>
      <c r="G26" s="111" t="s">
        <v>135</v>
      </c>
      <c r="H26" s="96" t="s">
        <v>115</v>
      </c>
      <c r="I26" s="122" t="s">
        <v>136</v>
      </c>
      <c r="J26" s="97">
        <v>837744</v>
      </c>
      <c r="K26" s="127" t="s">
        <v>142</v>
      </c>
      <c r="L26" s="112">
        <v>4305</v>
      </c>
      <c r="M26" s="128" t="s">
        <v>142</v>
      </c>
    </row>
    <row r="27" spans="1:14" s="13" customFormat="1" ht="87" thickBot="1">
      <c r="A27" s="131" t="s">
        <v>112</v>
      </c>
      <c r="B27" s="113" t="s">
        <v>107</v>
      </c>
      <c r="C27" s="261" t="s">
        <v>108</v>
      </c>
      <c r="D27" s="261"/>
      <c r="E27" s="261"/>
      <c r="F27" s="114">
        <v>45955</v>
      </c>
      <c r="G27" s="117" t="s">
        <v>137</v>
      </c>
      <c r="H27" s="116" t="s">
        <v>115</v>
      </c>
      <c r="I27" s="123" t="s">
        <v>138</v>
      </c>
      <c r="J27" s="118">
        <v>945572</v>
      </c>
      <c r="K27" s="129" t="s">
        <v>142</v>
      </c>
      <c r="L27" s="120">
        <v>7502</v>
      </c>
      <c r="M27" s="135" t="s">
        <v>142</v>
      </c>
    </row>
    <row r="28" spans="1:14" s="13" customFormat="1" ht="30" customHeight="1" thickBot="1">
      <c r="A28" s="131" t="s">
        <v>113</v>
      </c>
      <c r="B28" s="113" t="s">
        <v>109</v>
      </c>
      <c r="C28" s="261" t="s">
        <v>110</v>
      </c>
      <c r="D28" s="261"/>
      <c r="E28" s="261"/>
      <c r="F28" s="114">
        <v>46014</v>
      </c>
      <c r="G28" s="116" t="s">
        <v>132</v>
      </c>
      <c r="H28" s="116" t="s">
        <v>115</v>
      </c>
      <c r="I28" s="116" t="s">
        <v>115</v>
      </c>
      <c r="J28" s="118">
        <v>323810</v>
      </c>
      <c r="K28" s="129" t="s">
        <v>142</v>
      </c>
      <c r="L28" s="129" t="s">
        <v>142</v>
      </c>
      <c r="M28" s="119">
        <v>5702</v>
      </c>
      <c r="N28" s="190" t="s">
        <v>256</v>
      </c>
    </row>
    <row r="29" spans="1:14" s="13" customFormat="1" ht="30" customHeight="1">
      <c r="A29" s="265" t="s">
        <v>255</v>
      </c>
      <c r="B29" s="266"/>
      <c r="C29" s="266"/>
      <c r="D29" s="266"/>
      <c r="E29" s="266"/>
      <c r="F29" s="266"/>
      <c r="G29" s="266"/>
      <c r="H29" s="266"/>
      <c r="I29" s="266"/>
      <c r="J29" s="267">
        <f>SUM(J6:J7,J9,J12,J14,J25,J28)+SUM(J13,J15:J23,J24,J26,J27)*0.5+SUM(J8,J10:J11)*0.3</f>
        <v>13767144</v>
      </c>
      <c r="K29" s="267"/>
      <c r="L29" s="267"/>
      <c r="M29" s="268"/>
      <c r="N29" s="6">
        <v>13767144</v>
      </c>
    </row>
    <row r="30" spans="1:14" s="13" customFormat="1" ht="30" customHeight="1">
      <c r="A30" s="248" t="s">
        <v>41</v>
      </c>
      <c r="B30" s="249"/>
      <c r="C30" s="249"/>
      <c r="D30" s="249"/>
      <c r="E30" s="249"/>
      <c r="F30" s="249"/>
      <c r="G30" s="249"/>
      <c r="H30" s="249"/>
      <c r="I30" s="249"/>
      <c r="J30" s="329">
        <f>J29*0.0005</f>
        <v>6883.5720000000001</v>
      </c>
      <c r="K30" s="329"/>
      <c r="L30" s="329"/>
      <c r="M30" s="330"/>
      <c r="N30" s="6">
        <f>N29*0.0005</f>
        <v>6883.5720000000001</v>
      </c>
    </row>
    <row r="31" spans="1:14" s="13" customFormat="1" ht="30" customHeight="1">
      <c r="A31" s="339" t="s">
        <v>42</v>
      </c>
      <c r="B31" s="340"/>
      <c r="C31" s="340"/>
      <c r="D31" s="340"/>
      <c r="E31" s="340"/>
      <c r="F31" s="340"/>
      <c r="G31" s="340"/>
      <c r="H31" s="340"/>
      <c r="I31" s="340"/>
      <c r="J31" s="14">
        <f>N30</f>
        <v>6883.5720000000001</v>
      </c>
      <c r="K31" s="14">
        <f>SUM(K6:K28)</f>
        <v>11496</v>
      </c>
      <c r="L31" s="14">
        <f>SUM(L6:L28)</f>
        <v>33121</v>
      </c>
      <c r="M31" s="38">
        <f>SUM(M6:M28)</f>
        <v>57354</v>
      </c>
    </row>
    <row r="32" spans="1:14" s="13" customFormat="1" ht="30" customHeight="1" thickBot="1">
      <c r="A32" s="341" t="s">
        <v>27</v>
      </c>
      <c r="B32" s="342"/>
      <c r="C32" s="342"/>
      <c r="D32" s="342"/>
      <c r="E32" s="342"/>
      <c r="F32" s="342"/>
      <c r="G32" s="342"/>
      <c r="H32" s="342"/>
      <c r="I32" s="342"/>
      <c r="J32" s="343">
        <f>SUM(J31:M31)</f>
        <v>108854.572</v>
      </c>
      <c r="K32" s="343"/>
      <c r="L32" s="343"/>
      <c r="M32" s="344"/>
    </row>
    <row r="33" spans="1:14" s="203" customFormat="1" ht="30" customHeight="1" thickBot="1">
      <c r="A33" s="201"/>
      <c r="B33" s="201"/>
      <c r="C33" s="201"/>
      <c r="D33" s="201"/>
      <c r="E33" s="201"/>
      <c r="F33" s="201"/>
      <c r="G33" s="201"/>
      <c r="H33" s="201"/>
      <c r="I33" s="201"/>
      <c r="J33" s="202"/>
      <c r="K33" s="202"/>
      <c r="L33" s="202"/>
      <c r="M33" s="202"/>
    </row>
    <row r="34" spans="1:14" ht="30" customHeight="1">
      <c r="A34" s="331" t="s">
        <v>269</v>
      </c>
      <c r="B34" s="332"/>
      <c r="C34" s="332"/>
      <c r="D34" s="332"/>
      <c r="E34" s="332"/>
      <c r="F34" s="332"/>
      <c r="G34" s="332"/>
      <c r="H34" s="332"/>
      <c r="I34" s="332"/>
      <c r="J34" s="332"/>
      <c r="K34" s="332"/>
      <c r="L34" s="332"/>
      <c r="M34" s="333"/>
    </row>
    <row r="35" spans="1:14" ht="30" customHeight="1">
      <c r="A35" s="98" t="s">
        <v>15</v>
      </c>
      <c r="B35" s="72" t="s">
        <v>16</v>
      </c>
      <c r="C35" s="354" t="s">
        <v>17</v>
      </c>
      <c r="D35" s="355"/>
      <c r="E35" s="356"/>
      <c r="F35" s="72" t="s">
        <v>18</v>
      </c>
      <c r="G35" s="72" t="s">
        <v>19</v>
      </c>
      <c r="H35" s="72" t="s">
        <v>36</v>
      </c>
      <c r="I35" s="72" t="s">
        <v>37</v>
      </c>
      <c r="J35" s="72" t="s">
        <v>20</v>
      </c>
      <c r="K35" s="73" t="s">
        <v>38</v>
      </c>
      <c r="L35" s="73" t="s">
        <v>39</v>
      </c>
      <c r="M35" s="74" t="s">
        <v>21</v>
      </c>
    </row>
    <row r="36" spans="1:14" s="13" customFormat="1" ht="30" customHeight="1" thickBot="1">
      <c r="A36" s="195" t="s">
        <v>268</v>
      </c>
      <c r="B36" s="197" t="s">
        <v>266</v>
      </c>
      <c r="C36" s="352" t="s">
        <v>143</v>
      </c>
      <c r="D36" s="352"/>
      <c r="E36" s="352"/>
      <c r="F36" s="133" t="s">
        <v>144</v>
      </c>
      <c r="G36" s="35" t="s">
        <v>145</v>
      </c>
      <c r="H36" s="35" t="s">
        <v>130</v>
      </c>
      <c r="I36" s="134" t="s">
        <v>119</v>
      </c>
      <c r="J36" s="104">
        <v>4195508</v>
      </c>
      <c r="K36" s="127" t="s">
        <v>142</v>
      </c>
      <c r="L36" s="194" t="s">
        <v>259</v>
      </c>
      <c r="M36" s="205">
        <v>11718</v>
      </c>
      <c r="N36" s="189" t="s">
        <v>254</v>
      </c>
    </row>
    <row r="37" spans="1:14" s="13" customFormat="1" ht="30" customHeight="1" thickBot="1">
      <c r="A37" s="131" t="s">
        <v>111</v>
      </c>
      <c r="B37" s="113" t="s">
        <v>105</v>
      </c>
      <c r="C37" s="261" t="s">
        <v>106</v>
      </c>
      <c r="D37" s="261"/>
      <c r="E37" s="261"/>
      <c r="F37" s="114">
        <v>46006</v>
      </c>
      <c r="G37" s="115" t="s">
        <v>0</v>
      </c>
      <c r="H37" s="116" t="s">
        <v>115</v>
      </c>
      <c r="I37" s="117" t="s">
        <v>116</v>
      </c>
      <c r="J37" s="118">
        <v>937860</v>
      </c>
      <c r="K37" s="129" t="s">
        <v>142</v>
      </c>
      <c r="L37" s="129" t="s">
        <v>142</v>
      </c>
      <c r="M37" s="206">
        <v>17916</v>
      </c>
      <c r="N37" s="189" t="s">
        <v>254</v>
      </c>
    </row>
    <row r="38" spans="1:14" s="13" customFormat="1" ht="30" customHeight="1">
      <c r="A38" s="265" t="s">
        <v>255</v>
      </c>
      <c r="B38" s="266"/>
      <c r="C38" s="266"/>
      <c r="D38" s="266"/>
      <c r="E38" s="266"/>
      <c r="F38" s="266"/>
      <c r="G38" s="266"/>
      <c r="H38" s="266"/>
      <c r="I38" s="266"/>
      <c r="J38" s="267">
        <f>J36*0.3+J37</f>
        <v>2196512.4</v>
      </c>
      <c r="K38" s="267"/>
      <c r="L38" s="267"/>
      <c r="M38" s="268"/>
      <c r="N38" s="6"/>
    </row>
    <row r="39" spans="1:14" s="13" customFormat="1" ht="30" customHeight="1">
      <c r="A39" s="248" t="s">
        <v>41</v>
      </c>
      <c r="B39" s="249"/>
      <c r="C39" s="249"/>
      <c r="D39" s="249"/>
      <c r="E39" s="249"/>
      <c r="F39" s="249"/>
      <c r="G39" s="249"/>
      <c r="H39" s="249"/>
      <c r="I39" s="249"/>
      <c r="J39" s="329">
        <f>J38*0.0005</f>
        <v>1098.2562</v>
      </c>
      <c r="K39" s="329"/>
      <c r="L39" s="329"/>
      <c r="M39" s="330"/>
      <c r="N39" s="6"/>
    </row>
    <row r="40" spans="1:14" s="13" customFormat="1" ht="30" customHeight="1" thickBot="1">
      <c r="A40" s="341" t="s">
        <v>261</v>
      </c>
      <c r="B40" s="342"/>
      <c r="C40" s="342"/>
      <c r="D40" s="342"/>
      <c r="E40" s="342"/>
      <c r="F40" s="342"/>
      <c r="G40" s="342"/>
      <c r="H40" s="342"/>
      <c r="I40" s="342"/>
      <c r="J40" s="345">
        <f>M36+M37+J39</f>
        <v>30732.2562</v>
      </c>
      <c r="K40" s="345"/>
      <c r="L40" s="345"/>
      <c r="M40" s="346"/>
    </row>
    <row r="41" spans="1:14" s="13" customFormat="1" ht="30" customHeight="1">
      <c r="A41" s="334" t="s">
        <v>46</v>
      </c>
      <c r="B41" s="335"/>
      <c r="C41" s="335"/>
      <c r="D41" s="335"/>
      <c r="E41" s="335"/>
      <c r="F41" s="335"/>
      <c r="G41" s="335"/>
      <c r="H41" s="335"/>
      <c r="I41" s="335"/>
      <c r="J41" s="335"/>
      <c r="K41" s="335"/>
      <c r="L41" s="335"/>
      <c r="M41" s="335"/>
    </row>
    <row r="42" spans="1:14" s="13" customFormat="1" ht="30" customHeight="1">
      <c r="A42" s="334" t="s">
        <v>40</v>
      </c>
      <c r="B42" s="335"/>
      <c r="C42" s="335"/>
      <c r="D42" s="335"/>
      <c r="E42" s="335"/>
      <c r="F42" s="335"/>
      <c r="G42" s="335"/>
      <c r="H42" s="335"/>
      <c r="I42" s="335"/>
      <c r="J42" s="335"/>
      <c r="K42" s="335"/>
      <c r="L42" s="335"/>
      <c r="M42" s="335"/>
    </row>
    <row r="43" spans="1:14" s="13" customFormat="1" ht="30" customHeight="1">
      <c r="A43" s="336" t="s">
        <v>47</v>
      </c>
      <c r="B43" s="337"/>
      <c r="C43" s="337"/>
      <c r="D43" s="337"/>
      <c r="E43" s="337"/>
      <c r="F43" s="337"/>
      <c r="G43" s="337"/>
      <c r="H43" s="337"/>
      <c r="I43" s="337"/>
      <c r="J43" s="337"/>
      <c r="K43" s="337"/>
      <c r="L43" s="337"/>
      <c r="M43" s="337"/>
    </row>
    <row r="44" spans="1:14" ht="30" customHeight="1">
      <c r="A44" s="338" t="s">
        <v>34</v>
      </c>
      <c r="B44" s="338"/>
      <c r="C44" s="338"/>
      <c r="D44" s="338"/>
      <c r="E44" s="338"/>
      <c r="F44" s="338"/>
      <c r="G44" s="338"/>
      <c r="H44" s="338"/>
      <c r="I44" s="338"/>
      <c r="J44" s="338"/>
      <c r="K44" s="338"/>
      <c r="L44" s="338"/>
      <c r="M44" s="338"/>
    </row>
    <row r="45" spans="1:14" ht="30" customHeight="1">
      <c r="A45" s="59" t="s">
        <v>49</v>
      </c>
      <c r="B45" s="59"/>
      <c r="C45" s="59"/>
      <c r="D45" s="59"/>
      <c r="E45" s="59"/>
      <c r="F45" s="59"/>
      <c r="G45" s="59"/>
      <c r="H45" s="57"/>
      <c r="I45" s="55"/>
      <c r="J45" s="55"/>
      <c r="K45" s="55"/>
      <c r="L45" s="55"/>
      <c r="M45" s="55"/>
    </row>
    <row r="46" spans="1:14" ht="30" customHeight="1">
      <c r="A46" s="60" t="s">
        <v>50</v>
      </c>
      <c r="B46" s="60"/>
      <c r="C46" s="60"/>
      <c r="D46" s="60"/>
      <c r="E46" s="60"/>
      <c r="F46" s="60"/>
      <c r="G46" s="60"/>
      <c r="H46" s="58"/>
    </row>
    <row r="47" spans="1:14" ht="30" customHeight="1">
      <c r="A47" s="60" t="s">
        <v>51</v>
      </c>
      <c r="B47" s="60"/>
      <c r="C47" s="60"/>
      <c r="D47" s="60"/>
      <c r="E47" s="60"/>
      <c r="F47" s="60"/>
      <c r="G47" s="60"/>
      <c r="H47" s="58"/>
    </row>
    <row r="48" spans="1:14" ht="30" customHeight="1" thickBot="1">
      <c r="A48" s="60"/>
      <c r="B48" s="60"/>
      <c r="C48" s="60"/>
      <c r="D48" s="60"/>
      <c r="E48" s="60"/>
      <c r="F48" s="60"/>
      <c r="G48" s="60"/>
      <c r="H48" s="58"/>
      <c r="J48" s="4" t="s">
        <v>10</v>
      </c>
      <c r="K48" s="5"/>
      <c r="L48" s="5"/>
      <c r="M48" s="5"/>
    </row>
    <row r="49" spans="10:13" ht="30" customHeight="1">
      <c r="J49" s="4"/>
      <c r="K49" s="56"/>
      <c r="L49" s="56"/>
      <c r="M49" s="56"/>
    </row>
    <row r="50" spans="10:13" ht="30" customHeight="1"/>
    <row r="51" spans="10:13" ht="30" customHeight="1"/>
    <row r="52" spans="10:13" ht="30" customHeight="1"/>
  </sheetData>
  <mergeCells count="57">
    <mergeCell ref="C21:E21"/>
    <mergeCell ref="C35:E35"/>
    <mergeCell ref="K16:K17"/>
    <mergeCell ref="J16:J17"/>
    <mergeCell ref="L16:L17"/>
    <mergeCell ref="M16:M17"/>
    <mergeCell ref="F18:F19"/>
    <mergeCell ref="G19:G20"/>
    <mergeCell ref="H19:H20"/>
    <mergeCell ref="I19:I20"/>
    <mergeCell ref="A4:M4"/>
    <mergeCell ref="C5:E5"/>
    <mergeCell ref="C12:E12"/>
    <mergeCell ref="C13:E13"/>
    <mergeCell ref="C14:E14"/>
    <mergeCell ref="C6:E6"/>
    <mergeCell ref="C7:E7"/>
    <mergeCell ref="C8:E8"/>
    <mergeCell ref="C36:E36"/>
    <mergeCell ref="C24:E24"/>
    <mergeCell ref="C17:E17"/>
    <mergeCell ref="C18:E18"/>
    <mergeCell ref="C19:E19"/>
    <mergeCell ref="C20:E20"/>
    <mergeCell ref="C15:E15"/>
    <mergeCell ref="C16:E16"/>
    <mergeCell ref="C22:E22"/>
    <mergeCell ref="C23:E23"/>
    <mergeCell ref="C9:E9"/>
    <mergeCell ref="C10:E10"/>
    <mergeCell ref="C11:E11"/>
    <mergeCell ref="A41:M41"/>
    <mergeCell ref="A42:M42"/>
    <mergeCell ref="A43:M43"/>
    <mergeCell ref="A44:M44"/>
    <mergeCell ref="A31:I31"/>
    <mergeCell ref="A32:I32"/>
    <mergeCell ref="J32:M32"/>
    <mergeCell ref="A40:I40"/>
    <mergeCell ref="J40:M40"/>
    <mergeCell ref="C37:E37"/>
    <mergeCell ref="A6:A23"/>
    <mergeCell ref="B15:B23"/>
    <mergeCell ref="A38:I38"/>
    <mergeCell ref="J38:M38"/>
    <mergeCell ref="A39:I39"/>
    <mergeCell ref="J39:M39"/>
    <mergeCell ref="A34:M34"/>
    <mergeCell ref="A24:A26"/>
    <mergeCell ref="C25:E25"/>
    <mergeCell ref="J29:M29"/>
    <mergeCell ref="A29:I29"/>
    <mergeCell ref="A30:I30"/>
    <mergeCell ref="J30:M30"/>
    <mergeCell ref="C27:E27"/>
    <mergeCell ref="C28:E28"/>
    <mergeCell ref="C26:E26"/>
  </mergeCells>
  <phoneticPr fontId="2" type="noConversion"/>
  <printOptions horizontalCentered="1"/>
  <pageMargins left="0.23622047244094491" right="0.23622047244094491" top="0.11811023622047245" bottom="0.11811023622047245" header="0" footer="0"/>
  <pageSetup paperSize="9" scale="43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1"/>
  <sheetViews>
    <sheetView tabSelected="1" zoomScale="70" zoomScaleNormal="70" workbookViewId="0">
      <pane ySplit="3" topLeftCell="A4" activePane="bottomLeft" state="frozen"/>
      <selection activeCell="A4" sqref="A4:L4"/>
      <selection pane="bottomLeft" activeCell="J34" sqref="J34"/>
    </sheetView>
  </sheetViews>
  <sheetFormatPr defaultColWidth="8.875" defaultRowHeight="15.75"/>
  <cols>
    <col min="1" max="12" width="15.875" style="9" customWidth="1"/>
    <col min="13" max="16384" width="8.875" style="9"/>
  </cols>
  <sheetData>
    <row r="1" spans="1:13" s="20" customFormat="1" ht="30" customHeight="1">
      <c r="A1" s="69" t="s">
        <v>26</v>
      </c>
      <c r="B1" s="70" t="s">
        <v>4</v>
      </c>
      <c r="C1" s="70" t="s">
        <v>8</v>
      </c>
      <c r="D1" s="70" t="s">
        <v>7</v>
      </c>
      <c r="E1" s="70" t="s">
        <v>22</v>
      </c>
      <c r="F1" s="70" t="s">
        <v>9</v>
      </c>
      <c r="G1" s="16" t="s">
        <v>23</v>
      </c>
      <c r="H1" s="17" t="s">
        <v>24</v>
      </c>
      <c r="I1" s="19" t="s">
        <v>5</v>
      </c>
    </row>
    <row r="2" spans="1:13" ht="30" customHeight="1" thickBot="1">
      <c r="A2" s="33" t="s">
        <v>174</v>
      </c>
      <c r="B2" s="29" t="s">
        <v>175</v>
      </c>
      <c r="C2" s="68" t="s">
        <v>176</v>
      </c>
      <c r="D2" s="30" t="s">
        <v>141</v>
      </c>
      <c r="E2" s="2" t="s">
        <v>146</v>
      </c>
      <c r="F2" s="2">
        <v>38353</v>
      </c>
      <c r="G2" s="2" t="s">
        <v>30</v>
      </c>
      <c r="H2" s="2" t="s">
        <v>173</v>
      </c>
      <c r="I2" s="3">
        <f>SUM(E2:H2)</f>
        <v>38353</v>
      </c>
    </row>
    <row r="3" spans="1:13" ht="30" customHeight="1" thickBot="1">
      <c r="A3" s="7"/>
      <c r="B3" s="7"/>
      <c r="C3" s="7"/>
      <c r="D3" s="8"/>
      <c r="E3" s="7"/>
      <c r="F3" s="8"/>
      <c r="G3" s="8"/>
      <c r="H3" s="6"/>
    </row>
    <row r="4" spans="1:13" ht="30" customHeight="1">
      <c r="A4" s="252" t="s">
        <v>62</v>
      </c>
      <c r="B4" s="253"/>
      <c r="C4" s="253"/>
      <c r="D4" s="253"/>
      <c r="E4" s="253"/>
      <c r="F4" s="253"/>
      <c r="G4" s="253"/>
      <c r="H4" s="253"/>
      <c r="I4" s="253"/>
      <c r="J4" s="253"/>
      <c r="K4" s="253"/>
      <c r="L4" s="254"/>
    </row>
    <row r="5" spans="1:13" ht="30" customHeight="1" thickBot="1">
      <c r="A5" s="136" t="s">
        <v>15</v>
      </c>
      <c r="B5" s="137" t="s">
        <v>16</v>
      </c>
      <c r="C5" s="279" t="s">
        <v>17</v>
      </c>
      <c r="D5" s="280"/>
      <c r="E5" s="281"/>
      <c r="F5" s="137" t="s">
        <v>18</v>
      </c>
      <c r="G5" s="137" t="s">
        <v>19</v>
      </c>
      <c r="H5" s="137" t="s">
        <v>20</v>
      </c>
      <c r="I5" s="138" t="s">
        <v>39</v>
      </c>
      <c r="J5" s="138" t="s">
        <v>21</v>
      </c>
      <c r="K5" s="138" t="s">
        <v>43</v>
      </c>
      <c r="L5" s="139" t="s">
        <v>48</v>
      </c>
    </row>
    <row r="6" spans="1:13" ht="30" customHeight="1">
      <c r="A6" s="271" t="s">
        <v>151</v>
      </c>
      <c r="B6" s="105" t="s">
        <v>169</v>
      </c>
      <c r="C6" s="282" t="s">
        <v>158</v>
      </c>
      <c r="D6" s="282" t="s">
        <v>160</v>
      </c>
      <c r="E6" s="282" t="s">
        <v>126</v>
      </c>
      <c r="F6" s="106" t="s">
        <v>144</v>
      </c>
      <c r="G6" s="107" t="s">
        <v>163</v>
      </c>
      <c r="H6" s="150">
        <v>280000</v>
      </c>
      <c r="I6" s="141" t="s">
        <v>141</v>
      </c>
      <c r="J6" s="141">
        <v>3413</v>
      </c>
      <c r="K6" s="142" t="s">
        <v>170</v>
      </c>
      <c r="L6" s="62"/>
    </row>
    <row r="7" spans="1:13" ht="30" customHeight="1">
      <c r="A7" s="303"/>
      <c r="B7" s="83" t="s">
        <v>165</v>
      </c>
      <c r="C7" s="304" t="s">
        <v>87</v>
      </c>
      <c r="D7" s="304" t="s">
        <v>123</v>
      </c>
      <c r="E7" s="304" t="s">
        <v>124</v>
      </c>
      <c r="F7" s="84" t="s">
        <v>161</v>
      </c>
      <c r="G7" s="85" t="s">
        <v>164</v>
      </c>
      <c r="H7" s="47">
        <v>1995564</v>
      </c>
      <c r="I7" s="42">
        <v>12548</v>
      </c>
      <c r="J7" s="42" t="s">
        <v>141</v>
      </c>
      <c r="K7" s="140" t="s">
        <v>170</v>
      </c>
      <c r="L7" s="143"/>
    </row>
    <row r="8" spans="1:13" ht="30" customHeight="1">
      <c r="A8" s="303"/>
      <c r="B8" s="83" t="s">
        <v>166</v>
      </c>
      <c r="C8" s="304" t="s">
        <v>88</v>
      </c>
      <c r="D8" s="304" t="s">
        <v>125</v>
      </c>
      <c r="E8" s="304" t="s">
        <v>126</v>
      </c>
      <c r="F8" s="84" t="s">
        <v>162</v>
      </c>
      <c r="G8" s="85" t="s">
        <v>163</v>
      </c>
      <c r="H8" s="47">
        <v>509369</v>
      </c>
      <c r="I8" s="42">
        <v>2512</v>
      </c>
      <c r="J8" s="42" t="s">
        <v>171</v>
      </c>
      <c r="K8" s="140" t="s">
        <v>141</v>
      </c>
      <c r="L8" s="143"/>
    </row>
    <row r="9" spans="1:13" ht="30" customHeight="1">
      <c r="A9" s="303"/>
      <c r="B9" s="83" t="s">
        <v>148</v>
      </c>
      <c r="C9" s="304" t="s">
        <v>90</v>
      </c>
      <c r="D9" s="304" t="s">
        <v>129</v>
      </c>
      <c r="E9" s="304" t="s">
        <v>118</v>
      </c>
      <c r="F9" s="84" t="s">
        <v>130</v>
      </c>
      <c r="G9" s="85" t="s">
        <v>118</v>
      </c>
      <c r="H9" s="47">
        <v>2295834</v>
      </c>
      <c r="I9" s="42">
        <v>5298</v>
      </c>
      <c r="J9" s="42" t="s">
        <v>141</v>
      </c>
      <c r="K9" s="140" t="s">
        <v>141</v>
      </c>
      <c r="L9" s="143"/>
    </row>
    <row r="10" spans="1:13" ht="30" customHeight="1">
      <c r="A10" s="303"/>
      <c r="B10" s="305" t="s">
        <v>172</v>
      </c>
      <c r="C10" s="304" t="s">
        <v>91</v>
      </c>
      <c r="D10" s="304" t="s">
        <v>131</v>
      </c>
      <c r="E10" s="304" t="s">
        <v>126</v>
      </c>
      <c r="F10" s="84" t="s">
        <v>130</v>
      </c>
      <c r="G10" s="85" t="s">
        <v>126</v>
      </c>
      <c r="H10" s="369">
        <v>1069657</v>
      </c>
      <c r="I10" s="368">
        <v>7080</v>
      </c>
      <c r="J10" s="364" t="s">
        <v>141</v>
      </c>
      <c r="K10" s="364" t="s">
        <v>141</v>
      </c>
      <c r="L10" s="366"/>
    </row>
    <row r="11" spans="1:13" ht="30" customHeight="1">
      <c r="A11" s="303"/>
      <c r="B11" s="305"/>
      <c r="C11" s="304" t="s">
        <v>92</v>
      </c>
      <c r="D11" s="304">
        <v>45812</v>
      </c>
      <c r="E11" s="304" t="s">
        <v>126</v>
      </c>
      <c r="F11" s="84" t="s">
        <v>130</v>
      </c>
      <c r="G11" s="85" t="s">
        <v>126</v>
      </c>
      <c r="H11" s="369"/>
      <c r="I11" s="368"/>
      <c r="J11" s="365"/>
      <c r="K11" s="365"/>
      <c r="L11" s="367"/>
    </row>
    <row r="12" spans="1:13" ht="30" customHeight="1" thickBot="1">
      <c r="A12" s="71" t="s">
        <v>154</v>
      </c>
      <c r="B12" s="100" t="s">
        <v>155</v>
      </c>
      <c r="C12" s="314" t="s">
        <v>108</v>
      </c>
      <c r="D12" s="314"/>
      <c r="E12" s="314"/>
      <c r="F12" s="110">
        <v>45955</v>
      </c>
      <c r="G12" s="111" t="s">
        <v>137</v>
      </c>
      <c r="H12" s="144">
        <v>945572</v>
      </c>
      <c r="I12" s="151">
        <v>7502</v>
      </c>
      <c r="J12" s="151" t="s">
        <v>141</v>
      </c>
      <c r="K12" s="152" t="s">
        <v>141</v>
      </c>
      <c r="L12" s="145"/>
    </row>
    <row r="13" spans="1:13" ht="30" customHeight="1" thickBot="1">
      <c r="A13" s="370" t="s">
        <v>27</v>
      </c>
      <c r="B13" s="371"/>
      <c r="C13" s="371"/>
      <c r="D13" s="371"/>
      <c r="E13" s="371"/>
      <c r="F13" s="371"/>
      <c r="G13" s="372"/>
      <c r="H13" s="317">
        <f>SUM(I6:K12)</f>
        <v>38353</v>
      </c>
      <c r="I13" s="373"/>
      <c r="J13" s="373"/>
      <c r="K13" s="373"/>
      <c r="L13" s="318"/>
    </row>
    <row r="14" spans="1:13" s="203" customFormat="1" ht="30" customHeight="1" thickBot="1">
      <c r="A14" s="201"/>
      <c r="B14" s="201"/>
      <c r="C14" s="201"/>
      <c r="D14" s="201"/>
      <c r="E14" s="201"/>
      <c r="F14" s="201"/>
      <c r="G14" s="201"/>
      <c r="H14" s="201"/>
      <c r="I14" s="201"/>
      <c r="J14" s="202"/>
      <c r="K14" s="202"/>
      <c r="L14" s="202"/>
      <c r="M14" s="202"/>
    </row>
    <row r="15" spans="1:13" ht="30" customHeight="1" thickBot="1">
      <c r="A15" s="284" t="s">
        <v>269</v>
      </c>
      <c r="B15" s="285"/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02"/>
    </row>
    <row r="16" spans="1:13" ht="30" customHeight="1" thickBot="1">
      <c r="A16" s="136" t="s">
        <v>15</v>
      </c>
      <c r="B16" s="137" t="s">
        <v>16</v>
      </c>
      <c r="C16" s="279" t="s">
        <v>17</v>
      </c>
      <c r="D16" s="280"/>
      <c r="E16" s="281"/>
      <c r="F16" s="137" t="s">
        <v>18</v>
      </c>
      <c r="G16" s="137" t="s">
        <v>19</v>
      </c>
      <c r="H16" s="137" t="s">
        <v>20</v>
      </c>
      <c r="I16" s="138" t="s">
        <v>39</v>
      </c>
      <c r="J16" s="138" t="s">
        <v>21</v>
      </c>
      <c r="K16" s="138" t="s">
        <v>43</v>
      </c>
      <c r="L16" s="139" t="s">
        <v>48</v>
      </c>
    </row>
    <row r="17" spans="1:12" ht="30" customHeight="1" thickBot="1">
      <c r="A17" s="53" t="s">
        <v>167</v>
      </c>
      <c r="B17" s="113" t="s">
        <v>168</v>
      </c>
      <c r="C17" s="261" t="s">
        <v>106</v>
      </c>
      <c r="D17" s="261">
        <v>46006</v>
      </c>
      <c r="E17" s="261" t="s">
        <v>0</v>
      </c>
      <c r="F17" s="157">
        <v>46006</v>
      </c>
      <c r="G17" s="158" t="s">
        <v>0</v>
      </c>
      <c r="H17" s="54">
        <v>937860</v>
      </c>
      <c r="I17" s="204">
        <v>11000</v>
      </c>
      <c r="J17" s="146" t="s">
        <v>30</v>
      </c>
      <c r="K17" s="147" t="s">
        <v>30</v>
      </c>
      <c r="L17" s="61"/>
    </row>
    <row r="18" spans="1:12" ht="30" customHeight="1" thickBot="1">
      <c r="A18" s="370" t="s">
        <v>253</v>
      </c>
      <c r="B18" s="371"/>
      <c r="C18" s="371"/>
      <c r="D18" s="371"/>
      <c r="E18" s="371"/>
      <c r="F18" s="371"/>
      <c r="G18" s="372"/>
      <c r="H18" s="374">
        <f>I17</f>
        <v>11000</v>
      </c>
      <c r="I18" s="375"/>
      <c r="J18" s="375"/>
      <c r="K18" s="375"/>
      <c r="L18" s="376"/>
    </row>
    <row r="19" spans="1:12">
      <c r="A19" s="7"/>
      <c r="B19" s="7"/>
      <c r="C19" s="7"/>
      <c r="D19" s="8"/>
      <c r="E19" s="7"/>
    </row>
    <row r="20" spans="1:12">
      <c r="A20" s="7"/>
      <c r="B20" s="7"/>
      <c r="C20" s="7"/>
      <c r="D20" s="8"/>
      <c r="E20" s="7"/>
      <c r="F20" s="8"/>
      <c r="G20" s="8"/>
      <c r="H20" s="6"/>
    </row>
    <row r="21" spans="1:12">
      <c r="A21" s="7"/>
      <c r="B21" s="7"/>
      <c r="C21" s="7"/>
      <c r="D21" s="8"/>
      <c r="E21" s="7"/>
      <c r="F21" s="8"/>
      <c r="G21" s="8"/>
      <c r="H21" s="6"/>
    </row>
    <row r="22" spans="1:12">
      <c r="A22" s="7"/>
      <c r="B22" s="7"/>
      <c r="C22" s="7"/>
      <c r="D22" s="8"/>
      <c r="E22" s="7"/>
      <c r="F22" s="7"/>
      <c r="G22" s="7"/>
      <c r="H22" s="7"/>
    </row>
    <row r="23" spans="1:12">
      <c r="A23" s="7"/>
      <c r="B23" s="7"/>
      <c r="C23" s="7"/>
      <c r="D23" s="8"/>
      <c r="E23" s="7"/>
      <c r="F23" s="7"/>
      <c r="G23" s="7"/>
      <c r="H23" s="7"/>
    </row>
    <row r="24" spans="1:12">
      <c r="A24" s="7"/>
      <c r="B24" s="7"/>
      <c r="C24" s="7"/>
      <c r="D24" s="8"/>
      <c r="E24" s="7"/>
      <c r="F24" s="7"/>
      <c r="G24" s="7"/>
      <c r="H24" s="7"/>
      <c r="I24" s="7"/>
    </row>
    <row r="25" spans="1:12">
      <c r="A25" s="7"/>
      <c r="B25" s="7"/>
      <c r="C25" s="7"/>
      <c r="D25" s="8"/>
      <c r="E25" s="7"/>
      <c r="F25" s="7"/>
      <c r="G25" s="7"/>
      <c r="H25" s="7"/>
      <c r="I25" s="7"/>
    </row>
    <row r="26" spans="1:12">
      <c r="A26" s="7"/>
      <c r="B26" s="7"/>
      <c r="C26" s="7"/>
      <c r="D26" s="8"/>
      <c r="E26" s="7"/>
      <c r="F26" s="7"/>
      <c r="G26" s="7"/>
      <c r="H26" s="7"/>
      <c r="I26" s="7"/>
    </row>
    <row r="27" spans="1:12">
      <c r="A27" s="7"/>
      <c r="B27" s="7"/>
      <c r="C27" s="7"/>
      <c r="D27" s="8"/>
      <c r="E27" s="7"/>
      <c r="F27" s="7"/>
      <c r="G27" s="7"/>
      <c r="H27" s="7"/>
      <c r="I27" s="7"/>
    </row>
    <row r="28" spans="1:12">
      <c r="A28" s="7"/>
      <c r="B28" s="7"/>
      <c r="C28" s="7"/>
      <c r="D28" s="8"/>
      <c r="E28" s="7"/>
      <c r="F28" s="7"/>
      <c r="G28" s="7"/>
      <c r="H28" s="7"/>
      <c r="I28" s="7"/>
    </row>
    <row r="29" spans="1:12">
      <c r="A29" s="7"/>
      <c r="B29" s="7"/>
      <c r="C29" s="7"/>
      <c r="D29" s="8"/>
      <c r="E29" s="7"/>
      <c r="F29" s="7"/>
      <c r="G29" s="7"/>
      <c r="H29" s="7"/>
      <c r="I29" s="7"/>
    </row>
    <row r="30" spans="1:12">
      <c r="A30" s="7"/>
      <c r="B30" s="7"/>
      <c r="C30" s="7"/>
      <c r="D30" s="8"/>
      <c r="E30" s="7"/>
      <c r="F30" s="7"/>
      <c r="G30" s="7"/>
      <c r="H30" s="7"/>
      <c r="I30" s="7"/>
    </row>
    <row r="31" spans="1:12">
      <c r="A31" s="7"/>
      <c r="B31" s="7"/>
      <c r="C31" s="7"/>
      <c r="D31" s="7"/>
      <c r="E31" s="7"/>
      <c r="F31" s="7"/>
      <c r="G31" s="7"/>
      <c r="H31" s="7"/>
      <c r="I31" s="7"/>
    </row>
    <row r="32" spans="1:12">
      <c r="A32" s="7"/>
      <c r="B32" s="7"/>
      <c r="C32" s="7"/>
      <c r="D32" s="7"/>
      <c r="E32" s="7"/>
      <c r="F32" s="7"/>
      <c r="G32" s="7"/>
      <c r="H32" s="7"/>
      <c r="I32" s="7"/>
    </row>
    <row r="33" spans="1:9">
      <c r="A33" s="7"/>
      <c r="B33" s="7"/>
      <c r="C33" s="7"/>
      <c r="D33" s="7"/>
      <c r="E33" s="7"/>
      <c r="F33" s="7"/>
      <c r="G33" s="7"/>
      <c r="H33" s="7"/>
      <c r="I33" s="7"/>
    </row>
    <row r="34" spans="1:9">
      <c r="A34" s="7"/>
      <c r="B34" s="7"/>
      <c r="C34" s="7"/>
      <c r="D34" s="7"/>
      <c r="E34" s="7"/>
      <c r="F34" s="7"/>
      <c r="G34" s="7"/>
      <c r="H34" s="7"/>
      <c r="I34" s="7"/>
    </row>
    <row r="35" spans="1:9">
      <c r="A35" s="7"/>
      <c r="B35" s="7"/>
      <c r="C35" s="7"/>
      <c r="D35" s="7"/>
      <c r="E35" s="7"/>
      <c r="F35" s="7"/>
      <c r="G35" s="7"/>
      <c r="H35" s="7"/>
      <c r="I35" s="7"/>
    </row>
    <row r="36" spans="1:9">
      <c r="A36" s="7"/>
      <c r="B36" s="7"/>
      <c r="C36" s="7"/>
      <c r="D36" s="7"/>
      <c r="E36" s="7"/>
      <c r="F36" s="7"/>
      <c r="G36" s="7"/>
      <c r="H36" s="7"/>
      <c r="I36" s="7"/>
    </row>
    <row r="37" spans="1:9">
      <c r="A37" s="7"/>
      <c r="B37" s="7"/>
      <c r="C37" s="7"/>
      <c r="D37" s="7"/>
      <c r="E37" s="7"/>
      <c r="F37" s="7"/>
      <c r="G37" s="7"/>
      <c r="H37" s="7"/>
      <c r="I37" s="7"/>
    </row>
    <row r="38" spans="1:9">
      <c r="A38" s="7"/>
      <c r="B38" s="7"/>
      <c r="C38" s="7"/>
      <c r="D38" s="7"/>
      <c r="E38" s="7"/>
      <c r="F38" s="7"/>
      <c r="G38" s="7"/>
      <c r="H38" s="7"/>
      <c r="I38" s="7"/>
    </row>
    <row r="39" spans="1:9">
      <c r="A39" s="7"/>
      <c r="B39" s="7"/>
      <c r="C39" s="7"/>
      <c r="D39" s="7"/>
      <c r="E39" s="7"/>
      <c r="F39" s="7"/>
      <c r="G39" s="7"/>
      <c r="H39" s="7"/>
      <c r="I39" s="7"/>
    </row>
    <row r="40" spans="1:9">
      <c r="D40" s="7"/>
      <c r="E40" s="8"/>
      <c r="F40" s="8"/>
      <c r="G40" s="6"/>
    </row>
    <row r="41" spans="1:9">
      <c r="D41" s="7"/>
      <c r="E41" s="8"/>
      <c r="F41" s="8"/>
      <c r="G41" s="6"/>
    </row>
    <row r="42" spans="1:9">
      <c r="D42" s="7"/>
      <c r="E42" s="8"/>
      <c r="F42" s="8"/>
      <c r="G42" s="6"/>
    </row>
    <row r="43" spans="1:9">
      <c r="D43" s="7"/>
      <c r="E43" s="8"/>
      <c r="F43" s="8"/>
      <c r="G43" s="6"/>
    </row>
    <row r="44" spans="1:9">
      <c r="D44" s="7"/>
      <c r="E44" s="8"/>
      <c r="F44" s="8"/>
      <c r="G44" s="6"/>
    </row>
    <row r="45" spans="1:9">
      <c r="D45" s="7"/>
      <c r="E45" s="8"/>
      <c r="F45" s="8"/>
      <c r="G45" s="6"/>
    </row>
    <row r="46" spans="1:9">
      <c r="D46" s="7"/>
      <c r="E46" s="8"/>
      <c r="F46" s="8"/>
      <c r="G46" s="6"/>
    </row>
    <row r="47" spans="1:9">
      <c r="D47" s="7"/>
      <c r="E47" s="8"/>
      <c r="F47" s="8"/>
      <c r="G47" s="6"/>
    </row>
    <row r="48" spans="1:9">
      <c r="D48" s="7"/>
      <c r="E48" s="8"/>
      <c r="F48" s="8"/>
      <c r="G48" s="6"/>
    </row>
    <row r="49" spans="4:7">
      <c r="D49" s="7"/>
      <c r="E49" s="8"/>
      <c r="F49" s="8"/>
      <c r="G49" s="6"/>
    </row>
    <row r="50" spans="4:7">
      <c r="D50" s="7"/>
      <c r="E50" s="8"/>
      <c r="F50" s="8"/>
      <c r="G50" s="6"/>
    </row>
    <row r="51" spans="4:7">
      <c r="D51" s="7"/>
      <c r="E51" s="8"/>
      <c r="F51" s="8"/>
      <c r="G51" s="6"/>
    </row>
  </sheetData>
  <mergeCells count="23">
    <mergeCell ref="C17:E17"/>
    <mergeCell ref="C8:E8"/>
    <mergeCell ref="A13:G13"/>
    <mergeCell ref="H13:L13"/>
    <mergeCell ref="A18:G18"/>
    <mergeCell ref="H18:L18"/>
    <mergeCell ref="C16:E16"/>
    <mergeCell ref="A15:L15"/>
    <mergeCell ref="A4:L4"/>
    <mergeCell ref="C5:E5"/>
    <mergeCell ref="C6:E6"/>
    <mergeCell ref="C7:E7"/>
    <mergeCell ref="C12:E12"/>
    <mergeCell ref="A6:A11"/>
    <mergeCell ref="B10:B11"/>
    <mergeCell ref="C9:E9"/>
    <mergeCell ref="C10:E10"/>
    <mergeCell ref="C11:E11"/>
    <mergeCell ref="K10:K11"/>
    <mergeCell ref="L10:L11"/>
    <mergeCell ref="I10:I11"/>
    <mergeCell ref="H10:H11"/>
    <mergeCell ref="J10:J11"/>
  </mergeCells>
  <phoneticPr fontId="2" type="noConversion"/>
  <pageMargins left="0.23622047244094488" right="0.23622047244094488" top="0.51181102362204722" bottom="0.51181102362204722" header="0" footer="0"/>
  <pageSetup paperSize="9" scale="5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總表</vt:lpstr>
      <vt:lpstr>Susan</vt:lpstr>
      <vt:lpstr>Jacky</vt:lpstr>
      <vt:lpstr>Teren</vt:lpstr>
      <vt:lpstr>Annie</vt:lpstr>
      <vt:lpstr>Jasmine</vt:lpstr>
      <vt:lpstr>Vivian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2025-06-02T06:40:38Z</cp:lastPrinted>
  <dcterms:created xsi:type="dcterms:W3CDTF">2020-01-20T11:14:28Z</dcterms:created>
  <dcterms:modified xsi:type="dcterms:W3CDTF">2025-06-02T06:40:59Z</dcterms:modified>
</cp:coreProperties>
</file>